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ate1904="1" showInkAnnotation="0" codeName="ThisWorkbook"/>
  <mc:AlternateContent xmlns:mc="http://schemas.openxmlformats.org/markup-compatibility/2006">
    <mc:Choice Requires="x15">
      <x15ac:absPath xmlns:x15ac="http://schemas.microsoft.com/office/spreadsheetml/2010/11/ac" url="https://wageningenur4-my.sharepoint.com/personal/niels_hintzen_wur_nl/Documents/SPRFMOdata/input/2019 Data submission/ALK 2018/"/>
    </mc:Choice>
  </mc:AlternateContent>
  <xr:revisionPtr revIDLastSave="2" documentId="13_ncr:1_{70CE86FB-404A-4ACD-9942-F8F666F18DA1}" xr6:coauthVersionLast="46" xr6:coauthVersionMax="46" xr10:uidLastSave="{8B34E806-EF18-4D80-B7A2-E0EB300DF470}"/>
  <bookViews>
    <workbookView xWindow="-110" yWindow="-110" windowWidth="19420" windowHeight="10420" tabRatio="892" activeTab="7" xr2:uid="{00000000-000D-0000-FFFF-FFFF00000000}"/>
  </bookViews>
  <sheets>
    <sheet name="START HERE" sheetId="16" r:id="rId1"/>
    <sheet name="Comments" sheetId="36" r:id="rId2"/>
    <sheet name="catch data" sheetId="91" r:id="rId3"/>
    <sheet name="sampling" sheetId="2" r:id="rId4"/>
    <sheet name="LEN F1" sheetId="80" r:id="rId5"/>
    <sheet name="LEN F2" sheetId="85" r:id="rId6"/>
    <sheet name="LEN F3" sheetId="86" r:id="rId7"/>
    <sheet name="LEN F4" sheetId="87" r:id="rId8"/>
    <sheet name="WLK F1" sheetId="92" r:id="rId9"/>
    <sheet name="WLK F2" sheetId="96" r:id="rId10"/>
    <sheet name="WLK F3" sheetId="97" r:id="rId11"/>
    <sheet name="WLK F4" sheetId="98" r:id="rId12"/>
    <sheet name="ALK F1" sheetId="81" r:id="rId13"/>
    <sheet name="ALK F2" sheetId="88" r:id="rId14"/>
    <sheet name="ALK F3" sheetId="89" r:id="rId15"/>
    <sheet name="ALK F4" sheetId="90" r:id="rId16"/>
    <sheet name="CN F1" sheetId="74" r:id="rId17"/>
    <sheet name="CN F2" sheetId="82" r:id="rId18"/>
    <sheet name="CN F3" sheetId="83" r:id="rId19"/>
    <sheet name="CN F4" sheetId="84" r:id="rId20"/>
  </sheets>
  <definedNames>
    <definedName name="_xlnm._FilterDatabase" localSheetId="3" hidden="1">sampling!$A$8:$Q$15</definedName>
    <definedName name="_xlnm.Print_Area" localSheetId="3">sampling!$A$8:$Q$15</definedName>
    <definedName name="Z_30CB6B41_EBE9_11D1_AB37_006097D68CB6_.wvu.Cols" localSheetId="3" hidden="1">sampling!$AB:$AB</definedName>
    <definedName name="Z_F7B13B60_EB30_11D1_AB37_006097D68CB6_.wvu.Cols" localSheetId="3" hidden="1">sampling!$AB:$AB</definedName>
  </definedNames>
  <calcPr calcId="191029" calcOnSave="0"/>
  <customWorkbookViews>
    <customWorkbookView name="Summary" guid="{F7B13B60-EB30-11D1-AB37-006097D68CB6}" maximized="1" windowWidth="796" windowHeight="466" tabRatio="707" activeSheetId="1"/>
    <customWorkbookView name="Fisheries Research Centre - Personal View" guid="{8D6CC890-E1B2-11D1-AFFF-0080C7F9B91E}" mergeInterval="0" personalView="1" maximized="1" windowWidth="796" windowHeight="439" tabRatio="707" activeSheetId="1"/>
    <customWorkbookView name="landings_by_quarter" guid="{30CB6B41-EBE9-11D1-AB37-006097D68CB6}" maximized="1" windowWidth="796" windowHeight="466" tabRatio="70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 i="84" l="1"/>
  <c r="E10" i="98"/>
  <c r="D10" i="98"/>
  <c r="C10" i="98"/>
  <c r="B10" i="98"/>
  <c r="E10" i="97"/>
  <c r="D10" i="97"/>
  <c r="C10" i="97"/>
  <c r="B10" i="97"/>
  <c r="E10" i="96"/>
  <c r="D10" i="96"/>
  <c r="C10" i="96"/>
  <c r="B10" i="96"/>
  <c r="E10" i="92"/>
  <c r="D10" i="92"/>
  <c r="C10" i="92"/>
  <c r="B10" i="92"/>
  <c r="G6" i="98"/>
  <c r="B5" i="98"/>
  <c r="B4" i="98"/>
  <c r="B3" i="98"/>
  <c r="G6" i="97"/>
  <c r="B5" i="97"/>
  <c r="B4" i="97"/>
  <c r="B3" i="97"/>
  <c r="G6" i="96"/>
  <c r="B5" i="96"/>
  <c r="B4" i="96"/>
  <c r="B3" i="96"/>
  <c r="G6" i="92"/>
  <c r="B5" i="92"/>
  <c r="B4" i="92"/>
  <c r="B3" i="92"/>
  <c r="C110" i="87"/>
  <c r="B110" i="87"/>
  <c r="M29" i="74"/>
  <c r="J29" i="74"/>
  <c r="G29" i="74"/>
  <c r="D29" i="74"/>
  <c r="D29" i="82"/>
  <c r="G29" i="82"/>
  <c r="J29" i="82"/>
  <c r="M29" i="82"/>
  <c r="M29" i="83"/>
  <c r="J29" i="83"/>
  <c r="G29" i="83"/>
  <c r="D29" i="83"/>
  <c r="M29" i="84"/>
  <c r="J29" i="84"/>
  <c r="G29" i="84"/>
  <c r="D29" i="84"/>
  <c r="P17" i="91"/>
  <c r="O17" i="91"/>
  <c r="N17" i="91"/>
  <c r="H13" i="91"/>
  <c r="E13" i="91"/>
  <c r="B13" i="91"/>
  <c r="K13" i="91"/>
  <c r="P18" i="91"/>
  <c r="P19" i="91"/>
  <c r="P20" i="91"/>
  <c r="O18" i="91"/>
  <c r="O19" i="91"/>
  <c r="O20" i="91"/>
  <c r="N18" i="91"/>
  <c r="N19" i="91"/>
  <c r="N20" i="91"/>
  <c r="B4" i="80"/>
  <c r="B5" i="80"/>
  <c r="B3" i="80"/>
  <c r="C6" i="74"/>
  <c r="M21" i="91"/>
  <c r="L21" i="91"/>
  <c r="K21" i="91"/>
  <c r="J21" i="91"/>
  <c r="I21" i="91"/>
  <c r="H21" i="91"/>
  <c r="G21" i="91"/>
  <c r="F21" i="91"/>
  <c r="O21" i="91" s="1"/>
  <c r="E21" i="91"/>
  <c r="D21" i="91"/>
  <c r="C21" i="91"/>
  <c r="B21" i="91"/>
  <c r="BG112" i="90"/>
  <c r="BF112" i="90"/>
  <c r="BE112" i="90"/>
  <c r="BD112" i="90"/>
  <c r="BC112" i="90"/>
  <c r="BB112" i="90"/>
  <c r="BA112" i="90"/>
  <c r="AZ112" i="90"/>
  <c r="AY112" i="90"/>
  <c r="AX112" i="90"/>
  <c r="AW112" i="90"/>
  <c r="AV112" i="90"/>
  <c r="AU112" i="90"/>
  <c r="AR112" i="90"/>
  <c r="AQ112" i="90"/>
  <c r="AP112" i="90"/>
  <c r="AO112" i="90"/>
  <c r="AN112" i="90"/>
  <c r="AM112" i="90"/>
  <c r="AL112" i="90"/>
  <c r="AK112" i="90"/>
  <c r="AJ112" i="90"/>
  <c r="AI112" i="90"/>
  <c r="AH112" i="90"/>
  <c r="AG112" i="90"/>
  <c r="AF112" i="90"/>
  <c r="AC112" i="90"/>
  <c r="AB112" i="90"/>
  <c r="AA112" i="90"/>
  <c r="Z112" i="90"/>
  <c r="Y112" i="90"/>
  <c r="X112" i="90"/>
  <c r="W112" i="90"/>
  <c r="V112" i="90"/>
  <c r="U112" i="90"/>
  <c r="T112" i="90"/>
  <c r="S112" i="90"/>
  <c r="R112" i="90"/>
  <c r="Q112" i="90"/>
  <c r="N112" i="90"/>
  <c r="M112" i="90"/>
  <c r="L112" i="90"/>
  <c r="K112" i="90"/>
  <c r="J112" i="90"/>
  <c r="I112" i="90"/>
  <c r="H112" i="90"/>
  <c r="G112" i="90"/>
  <c r="F112" i="90"/>
  <c r="E112" i="90"/>
  <c r="D112" i="90"/>
  <c r="C112" i="90"/>
  <c r="B112" i="90"/>
  <c r="G6" i="90"/>
  <c r="B5" i="90"/>
  <c r="B4" i="90"/>
  <c r="B3" i="90"/>
  <c r="BG112" i="89"/>
  <c r="BF112" i="89"/>
  <c r="BE112" i="89"/>
  <c r="BD112" i="89"/>
  <c r="BC112" i="89"/>
  <c r="BB112" i="89"/>
  <c r="BA112" i="89"/>
  <c r="AZ112" i="89"/>
  <c r="AY112" i="89"/>
  <c r="AX112" i="89"/>
  <c r="AW112" i="89"/>
  <c r="AV112" i="89"/>
  <c r="AU112" i="89"/>
  <c r="AR112" i="89"/>
  <c r="AQ112" i="89"/>
  <c r="AP112" i="89"/>
  <c r="AO112" i="89"/>
  <c r="AN112" i="89"/>
  <c r="AM112" i="89"/>
  <c r="AL112" i="89"/>
  <c r="AK112" i="89"/>
  <c r="AJ112" i="89"/>
  <c r="AI112" i="89"/>
  <c r="AH112" i="89"/>
  <c r="AG112" i="89"/>
  <c r="AF112" i="89"/>
  <c r="AC112" i="89"/>
  <c r="AB112" i="89"/>
  <c r="AA112" i="89"/>
  <c r="Z112" i="89"/>
  <c r="Y112" i="89"/>
  <c r="X112" i="89"/>
  <c r="W112" i="89"/>
  <c r="V112" i="89"/>
  <c r="U112" i="89"/>
  <c r="T112" i="89"/>
  <c r="S112" i="89"/>
  <c r="R112" i="89"/>
  <c r="Q112" i="89"/>
  <c r="N112" i="89"/>
  <c r="M112" i="89"/>
  <c r="L112" i="89"/>
  <c r="K112" i="89"/>
  <c r="J112" i="89"/>
  <c r="I112" i="89"/>
  <c r="H112" i="89"/>
  <c r="G112" i="89"/>
  <c r="F112" i="89"/>
  <c r="E112" i="89"/>
  <c r="D112" i="89"/>
  <c r="C112" i="89"/>
  <c r="B112" i="89"/>
  <c r="G6" i="89"/>
  <c r="B5" i="89"/>
  <c r="B4" i="89"/>
  <c r="B3" i="89"/>
  <c r="BG112" i="88"/>
  <c r="BF112" i="88"/>
  <c r="BE112" i="88"/>
  <c r="BD112" i="88"/>
  <c r="BC112" i="88"/>
  <c r="BB112" i="88"/>
  <c r="BA112" i="88"/>
  <c r="AZ112" i="88"/>
  <c r="AY112" i="88"/>
  <c r="AX112" i="88"/>
  <c r="AW112" i="88"/>
  <c r="AV112" i="88"/>
  <c r="AU112" i="88"/>
  <c r="AR112" i="88"/>
  <c r="AQ112" i="88"/>
  <c r="AP112" i="88"/>
  <c r="AO112" i="88"/>
  <c r="AN112" i="88"/>
  <c r="AM112" i="88"/>
  <c r="AL112" i="88"/>
  <c r="AK112" i="88"/>
  <c r="AJ112" i="88"/>
  <c r="AI112" i="88"/>
  <c r="AH112" i="88"/>
  <c r="AG112" i="88"/>
  <c r="AF112" i="88"/>
  <c r="AC112" i="88"/>
  <c r="AB112" i="88"/>
  <c r="AA112" i="88"/>
  <c r="Z112" i="88"/>
  <c r="Y112" i="88"/>
  <c r="X112" i="88"/>
  <c r="W112" i="88"/>
  <c r="V112" i="88"/>
  <c r="U112" i="88"/>
  <c r="T112" i="88"/>
  <c r="S112" i="88"/>
  <c r="R112" i="88"/>
  <c r="Q112" i="88"/>
  <c r="N112" i="88"/>
  <c r="M112" i="88"/>
  <c r="L112" i="88"/>
  <c r="K112" i="88"/>
  <c r="J112" i="88"/>
  <c r="I112" i="88"/>
  <c r="H112" i="88"/>
  <c r="G112" i="88"/>
  <c r="F112" i="88"/>
  <c r="E112" i="88"/>
  <c r="D112" i="88"/>
  <c r="C112" i="88"/>
  <c r="B112" i="88"/>
  <c r="G6" i="88"/>
  <c r="B5" i="88"/>
  <c r="B4" i="88"/>
  <c r="B3" i="88"/>
  <c r="N112" i="81"/>
  <c r="M112" i="81"/>
  <c r="L112" i="81"/>
  <c r="K112" i="81"/>
  <c r="J112" i="81"/>
  <c r="I112" i="81"/>
  <c r="H112" i="81"/>
  <c r="G112" i="81"/>
  <c r="F112" i="81"/>
  <c r="E112" i="81"/>
  <c r="D112" i="81"/>
  <c r="C112" i="81"/>
  <c r="B112" i="81"/>
  <c r="AC112" i="81"/>
  <c r="AB112" i="81"/>
  <c r="AA112" i="81"/>
  <c r="Z112" i="81"/>
  <c r="Y112" i="81"/>
  <c r="X112" i="81"/>
  <c r="W112" i="81"/>
  <c r="V112" i="81"/>
  <c r="U112" i="81"/>
  <c r="T112" i="81"/>
  <c r="S112" i="81"/>
  <c r="R112" i="81"/>
  <c r="Q112" i="81"/>
  <c r="AR112" i="81"/>
  <c r="AQ112" i="81"/>
  <c r="AP112" i="81"/>
  <c r="AO112" i="81"/>
  <c r="AN112" i="81"/>
  <c r="AM112" i="81"/>
  <c r="AL112" i="81"/>
  <c r="AK112" i="81"/>
  <c r="AJ112" i="81"/>
  <c r="AI112" i="81"/>
  <c r="AH112" i="81"/>
  <c r="AG112" i="81"/>
  <c r="AF112" i="81"/>
  <c r="BG112" i="81"/>
  <c r="BF112" i="81"/>
  <c r="BE112" i="81"/>
  <c r="BD112" i="81"/>
  <c r="BC112" i="81"/>
  <c r="BB112" i="81"/>
  <c r="BA112" i="81"/>
  <c r="AZ112" i="81"/>
  <c r="AY112" i="81"/>
  <c r="AX112" i="81"/>
  <c r="AW112" i="81"/>
  <c r="AV112" i="81"/>
  <c r="AU112" i="81"/>
  <c r="F10" i="86"/>
  <c r="F11" i="86"/>
  <c r="F12" i="86"/>
  <c r="F13" i="86"/>
  <c r="F14" i="86"/>
  <c r="F15" i="86"/>
  <c r="F89" i="86"/>
  <c r="F90" i="86"/>
  <c r="F91" i="86"/>
  <c r="F92" i="86"/>
  <c r="F93" i="86"/>
  <c r="F94" i="86"/>
  <c r="F95" i="86"/>
  <c r="F96" i="86"/>
  <c r="F97" i="86"/>
  <c r="F98" i="86"/>
  <c r="F99" i="86"/>
  <c r="F100" i="86"/>
  <c r="F101" i="86"/>
  <c r="F102" i="86"/>
  <c r="F103" i="86"/>
  <c r="F104" i="86"/>
  <c r="F105" i="86"/>
  <c r="F106" i="86"/>
  <c r="F107" i="86"/>
  <c r="F108" i="86"/>
  <c r="F109" i="86"/>
  <c r="B110" i="86"/>
  <c r="C110" i="86"/>
  <c r="D110" i="86"/>
  <c r="E110" i="86"/>
  <c r="B110" i="85"/>
  <c r="C110" i="85"/>
  <c r="D110" i="85"/>
  <c r="E110" i="85"/>
  <c r="F89" i="85"/>
  <c r="F90" i="85"/>
  <c r="F91" i="85"/>
  <c r="F92" i="85"/>
  <c r="F93" i="85"/>
  <c r="F94" i="85"/>
  <c r="F95" i="85"/>
  <c r="F96" i="85"/>
  <c r="F97" i="85"/>
  <c r="F98" i="85"/>
  <c r="F99" i="85"/>
  <c r="F100" i="85"/>
  <c r="F101" i="85"/>
  <c r="F102" i="85"/>
  <c r="F103" i="85"/>
  <c r="F104" i="85"/>
  <c r="F105" i="85"/>
  <c r="F106" i="85"/>
  <c r="F107" i="85"/>
  <c r="F108" i="85"/>
  <c r="F109" i="85"/>
  <c r="F10" i="85"/>
  <c r="F11" i="85"/>
  <c r="F12" i="85"/>
  <c r="F13" i="85"/>
  <c r="F14" i="85"/>
  <c r="F15" i="85"/>
  <c r="B110" i="80"/>
  <c r="C110" i="80"/>
  <c r="D110" i="80"/>
  <c r="E110" i="80"/>
  <c r="F89" i="80"/>
  <c r="F90" i="80"/>
  <c r="F91" i="80"/>
  <c r="F92" i="80"/>
  <c r="F93" i="80"/>
  <c r="F94" i="80"/>
  <c r="F95" i="80"/>
  <c r="F96" i="80"/>
  <c r="F97" i="80"/>
  <c r="F98" i="80"/>
  <c r="F99" i="80"/>
  <c r="F100" i="80"/>
  <c r="F101" i="80"/>
  <c r="F102" i="80"/>
  <c r="F103" i="80"/>
  <c r="F104" i="80"/>
  <c r="F105" i="80"/>
  <c r="F106" i="80"/>
  <c r="F107" i="80"/>
  <c r="F108" i="80"/>
  <c r="F109" i="80"/>
  <c r="F10" i="80"/>
  <c r="F11" i="80"/>
  <c r="F12" i="80"/>
  <c r="F13" i="80"/>
  <c r="F14" i="80"/>
  <c r="F15" i="80"/>
  <c r="F9" i="80"/>
  <c r="E9" i="80"/>
  <c r="D9" i="80"/>
  <c r="C9" i="80"/>
  <c r="B9" i="80"/>
  <c r="F9" i="85"/>
  <c r="E9" i="85"/>
  <c r="D9" i="85"/>
  <c r="C9" i="85"/>
  <c r="B9" i="85"/>
  <c r="F9" i="87"/>
  <c r="F9" i="86"/>
  <c r="E9" i="86"/>
  <c r="D9" i="86"/>
  <c r="C9" i="86"/>
  <c r="B9" i="86"/>
  <c r="B5" i="86"/>
  <c r="F11" i="87"/>
  <c r="F12" i="87"/>
  <c r="F13" i="87"/>
  <c r="F14" i="87"/>
  <c r="F15" i="87"/>
  <c r="F16" i="87"/>
  <c r="F17" i="87"/>
  <c r="F18" i="87"/>
  <c r="F19" i="87"/>
  <c r="F20" i="87"/>
  <c r="F21" i="87"/>
  <c r="F22" i="87"/>
  <c r="F23" i="87"/>
  <c r="F24" i="87"/>
  <c r="F25" i="87"/>
  <c r="F26" i="87"/>
  <c r="F27" i="87"/>
  <c r="F28" i="87"/>
  <c r="F29" i="87"/>
  <c r="F30" i="87"/>
  <c r="F31" i="87"/>
  <c r="F32" i="87"/>
  <c r="F33" i="87"/>
  <c r="F34" i="87"/>
  <c r="F35" i="87"/>
  <c r="F36" i="87"/>
  <c r="F37" i="87"/>
  <c r="F38" i="87"/>
  <c r="F39" i="87"/>
  <c r="F40" i="87"/>
  <c r="F41" i="87"/>
  <c r="F42" i="87"/>
  <c r="F43" i="87"/>
  <c r="F44" i="87"/>
  <c r="F45" i="87"/>
  <c r="F46" i="87"/>
  <c r="F47" i="87"/>
  <c r="F48" i="87"/>
  <c r="F49" i="87"/>
  <c r="F50" i="87"/>
  <c r="F51" i="87"/>
  <c r="F52" i="87"/>
  <c r="F53" i="87"/>
  <c r="F54" i="87"/>
  <c r="F55" i="87"/>
  <c r="F56" i="87"/>
  <c r="F57" i="87"/>
  <c r="F58" i="87"/>
  <c r="F59" i="87"/>
  <c r="F60" i="87"/>
  <c r="F61" i="87"/>
  <c r="F62" i="87"/>
  <c r="F63" i="87"/>
  <c r="F64" i="87"/>
  <c r="F65" i="87"/>
  <c r="F66" i="87"/>
  <c r="F67" i="87"/>
  <c r="F68" i="87"/>
  <c r="F69" i="87"/>
  <c r="F70" i="87"/>
  <c r="F71" i="87"/>
  <c r="F72" i="87"/>
  <c r="F73" i="87"/>
  <c r="F74" i="87"/>
  <c r="F75" i="87"/>
  <c r="F76" i="87"/>
  <c r="F77" i="87"/>
  <c r="F78" i="87"/>
  <c r="F79" i="87"/>
  <c r="F80" i="87"/>
  <c r="F81" i="87"/>
  <c r="F82" i="87"/>
  <c r="F83" i="87"/>
  <c r="F84" i="87"/>
  <c r="F85" i="87"/>
  <c r="F86" i="87"/>
  <c r="F87" i="87"/>
  <c r="F88" i="87"/>
  <c r="F89" i="87"/>
  <c r="F90" i="87"/>
  <c r="F91" i="87"/>
  <c r="F92" i="87"/>
  <c r="F93" i="87"/>
  <c r="F94" i="87"/>
  <c r="F95" i="87"/>
  <c r="F96" i="87"/>
  <c r="F97" i="87"/>
  <c r="F98" i="87"/>
  <c r="F99" i="87"/>
  <c r="F100" i="87"/>
  <c r="F101" i="87"/>
  <c r="F102" i="87"/>
  <c r="F103" i="87"/>
  <c r="F104" i="87"/>
  <c r="F105" i="87"/>
  <c r="F106" i="87"/>
  <c r="F107" i="87"/>
  <c r="F108" i="87"/>
  <c r="F109" i="87"/>
  <c r="F10" i="87"/>
  <c r="E9" i="87"/>
  <c r="D9" i="87"/>
  <c r="C9" i="87"/>
  <c r="B9" i="87"/>
  <c r="B5" i="87"/>
  <c r="D110" i="87"/>
  <c r="E110" i="87"/>
  <c r="F6" i="87"/>
  <c r="B4" i="87"/>
  <c r="B3" i="87"/>
  <c r="F88" i="86"/>
  <c r="F87" i="86"/>
  <c r="F86" i="86"/>
  <c r="F85" i="86"/>
  <c r="F84" i="86"/>
  <c r="F83" i="86"/>
  <c r="F82" i="86"/>
  <c r="F81" i="86"/>
  <c r="F80" i="86"/>
  <c r="F79" i="86"/>
  <c r="F78" i="86"/>
  <c r="F77" i="86"/>
  <c r="F76" i="86"/>
  <c r="F75" i="86"/>
  <c r="F74" i="86"/>
  <c r="F73" i="86"/>
  <c r="F72" i="86"/>
  <c r="F71" i="86"/>
  <c r="F70" i="86"/>
  <c r="F69" i="86"/>
  <c r="F68" i="86"/>
  <c r="F67" i="86"/>
  <c r="F66" i="86"/>
  <c r="F65" i="86"/>
  <c r="F64" i="86"/>
  <c r="F63" i="86"/>
  <c r="F62" i="86"/>
  <c r="F61" i="86"/>
  <c r="F60" i="86"/>
  <c r="F59" i="86"/>
  <c r="F58" i="86"/>
  <c r="F57" i="86"/>
  <c r="F56" i="86"/>
  <c r="F55" i="86"/>
  <c r="F54" i="86"/>
  <c r="F53" i="86"/>
  <c r="F52" i="86"/>
  <c r="F51" i="86"/>
  <c r="F50" i="86"/>
  <c r="F49" i="86"/>
  <c r="F48" i="86"/>
  <c r="F47" i="86"/>
  <c r="F46" i="86"/>
  <c r="F45" i="86"/>
  <c r="F44" i="86"/>
  <c r="F43" i="86"/>
  <c r="F42" i="86"/>
  <c r="F41" i="86"/>
  <c r="F40" i="86"/>
  <c r="F39" i="86"/>
  <c r="F38" i="86"/>
  <c r="F37" i="86"/>
  <c r="F36" i="86"/>
  <c r="F35" i="86"/>
  <c r="F34" i="86"/>
  <c r="F33" i="86"/>
  <c r="F32" i="86"/>
  <c r="F31" i="86"/>
  <c r="F30" i="86"/>
  <c r="F29" i="86"/>
  <c r="F28" i="86"/>
  <c r="F27" i="86"/>
  <c r="F26" i="86"/>
  <c r="F25" i="86"/>
  <c r="F24" i="86"/>
  <c r="F23" i="86"/>
  <c r="F22" i="86"/>
  <c r="F21" i="86"/>
  <c r="F20" i="86"/>
  <c r="F19" i="86"/>
  <c r="F18" i="86"/>
  <c r="F17" i="86"/>
  <c r="F16" i="86"/>
  <c r="F6" i="86"/>
  <c r="B4" i="86"/>
  <c r="B3" i="86"/>
  <c r="F88" i="85"/>
  <c r="F87" i="85"/>
  <c r="F86" i="85"/>
  <c r="F85" i="85"/>
  <c r="F84" i="85"/>
  <c r="F83" i="85"/>
  <c r="F82" i="85"/>
  <c r="F81" i="85"/>
  <c r="F80" i="85"/>
  <c r="F79" i="85"/>
  <c r="F78" i="85"/>
  <c r="F77" i="85"/>
  <c r="F76" i="85"/>
  <c r="F75" i="85"/>
  <c r="F74" i="85"/>
  <c r="F73" i="85"/>
  <c r="F72" i="85"/>
  <c r="F71" i="85"/>
  <c r="F70" i="85"/>
  <c r="F69" i="85"/>
  <c r="F68" i="85"/>
  <c r="F67" i="85"/>
  <c r="F66" i="85"/>
  <c r="F65" i="85"/>
  <c r="F64" i="85"/>
  <c r="F63" i="85"/>
  <c r="F62" i="85"/>
  <c r="F61" i="85"/>
  <c r="F60" i="85"/>
  <c r="F59" i="85"/>
  <c r="F58" i="85"/>
  <c r="F57" i="85"/>
  <c r="F56" i="85"/>
  <c r="F55" i="85"/>
  <c r="F54" i="85"/>
  <c r="F53" i="85"/>
  <c r="F52" i="85"/>
  <c r="F51" i="85"/>
  <c r="F50" i="85"/>
  <c r="F49" i="85"/>
  <c r="F48" i="85"/>
  <c r="F47" i="85"/>
  <c r="F46" i="85"/>
  <c r="F45" i="85"/>
  <c r="F44" i="85"/>
  <c r="F43" i="85"/>
  <c r="F42" i="85"/>
  <c r="F41" i="85"/>
  <c r="F40" i="85"/>
  <c r="F39" i="85"/>
  <c r="F38" i="85"/>
  <c r="F37" i="85"/>
  <c r="F36" i="85"/>
  <c r="F35" i="85"/>
  <c r="F34" i="85"/>
  <c r="F33" i="85"/>
  <c r="F32" i="85"/>
  <c r="F31" i="85"/>
  <c r="F30" i="85"/>
  <c r="F29" i="85"/>
  <c r="F28" i="85"/>
  <c r="F27" i="85"/>
  <c r="F26" i="85"/>
  <c r="F25" i="85"/>
  <c r="F24" i="85"/>
  <c r="F23" i="85"/>
  <c r="F22" i="85"/>
  <c r="F21" i="85"/>
  <c r="F20" i="85"/>
  <c r="F19" i="85"/>
  <c r="F18" i="85"/>
  <c r="F17" i="85"/>
  <c r="F16" i="85"/>
  <c r="F6" i="85"/>
  <c r="B5" i="85"/>
  <c r="B4" i="85"/>
  <c r="B3" i="85"/>
  <c r="I6" i="74"/>
  <c r="I6" i="82"/>
  <c r="I6" i="83"/>
  <c r="I6" i="84"/>
  <c r="F6" i="80"/>
  <c r="G6" i="81"/>
  <c r="M28" i="84"/>
  <c r="J28" i="84"/>
  <c r="G28" i="84"/>
  <c r="D28" i="84"/>
  <c r="P27" i="84"/>
  <c r="N25" i="84"/>
  <c r="M25" i="84"/>
  <c r="L25" i="84"/>
  <c r="K25" i="84"/>
  <c r="J25" i="84"/>
  <c r="I25" i="84"/>
  <c r="H25" i="84"/>
  <c r="G25" i="84"/>
  <c r="F25" i="84"/>
  <c r="E25" i="84"/>
  <c r="D25" i="84"/>
  <c r="C25" i="84"/>
  <c r="Q24" i="84"/>
  <c r="P24" i="84"/>
  <c r="O24" i="84"/>
  <c r="Q20" i="84"/>
  <c r="P20" i="84"/>
  <c r="O20" i="84"/>
  <c r="Q19" i="84"/>
  <c r="P19" i="84"/>
  <c r="O19" i="84"/>
  <c r="Q18" i="84"/>
  <c r="P18" i="84"/>
  <c r="O18" i="84"/>
  <c r="Q17" i="84"/>
  <c r="P17" i="84"/>
  <c r="O17" i="84"/>
  <c r="Q16" i="84"/>
  <c r="P16" i="84"/>
  <c r="O16" i="84"/>
  <c r="Q15" i="84"/>
  <c r="P15" i="84"/>
  <c r="O15" i="84"/>
  <c r="Q14" i="84"/>
  <c r="P14" i="84"/>
  <c r="O14" i="84"/>
  <c r="Q13" i="84"/>
  <c r="P13" i="84"/>
  <c r="O13" i="84"/>
  <c r="Q12" i="84"/>
  <c r="P12" i="84"/>
  <c r="O12" i="84"/>
  <c r="C6" i="84"/>
  <c r="C5" i="84"/>
  <c r="M28" i="83"/>
  <c r="J28" i="83"/>
  <c r="G28" i="83"/>
  <c r="D28" i="83"/>
  <c r="P27" i="83"/>
  <c r="N25" i="83"/>
  <c r="M25" i="83"/>
  <c r="L25" i="83"/>
  <c r="K25" i="83"/>
  <c r="J25" i="83"/>
  <c r="I25" i="83"/>
  <c r="H25" i="83"/>
  <c r="G25" i="83"/>
  <c r="F25" i="83"/>
  <c r="E25" i="83"/>
  <c r="D25" i="83"/>
  <c r="C25" i="83"/>
  <c r="Q24" i="83"/>
  <c r="P24" i="83"/>
  <c r="O24" i="83"/>
  <c r="Q20" i="83"/>
  <c r="P20" i="83"/>
  <c r="O20" i="83"/>
  <c r="Q19" i="83"/>
  <c r="P19" i="83"/>
  <c r="O19" i="83"/>
  <c r="Q18" i="83"/>
  <c r="P18" i="83"/>
  <c r="O18" i="83"/>
  <c r="Q17" i="83"/>
  <c r="P17" i="83"/>
  <c r="O17" i="83"/>
  <c r="Q16" i="83"/>
  <c r="P16" i="83"/>
  <c r="O16" i="83"/>
  <c r="Q15" i="83"/>
  <c r="P15" i="83"/>
  <c r="O15" i="83"/>
  <c r="Q14" i="83"/>
  <c r="P14" i="83"/>
  <c r="O14" i="83"/>
  <c r="Q13" i="83"/>
  <c r="P13" i="83"/>
  <c r="O13" i="83"/>
  <c r="Q12" i="83"/>
  <c r="P12" i="83"/>
  <c r="O12" i="83"/>
  <c r="C6" i="83"/>
  <c r="C5" i="83"/>
  <c r="C4" i="83"/>
  <c r="M28" i="82"/>
  <c r="J28" i="82"/>
  <c r="G28" i="82"/>
  <c r="D28" i="82"/>
  <c r="P27" i="82"/>
  <c r="N25" i="82"/>
  <c r="M25" i="82"/>
  <c r="L25" i="82"/>
  <c r="K25" i="82"/>
  <c r="J25" i="82"/>
  <c r="I25" i="82"/>
  <c r="H25" i="82"/>
  <c r="G25" i="82"/>
  <c r="F25" i="82"/>
  <c r="E25" i="82"/>
  <c r="D25" i="82"/>
  <c r="C25" i="82"/>
  <c r="Q24" i="82"/>
  <c r="P24" i="82"/>
  <c r="O24" i="82"/>
  <c r="Q20" i="82"/>
  <c r="P20" i="82"/>
  <c r="O20" i="82"/>
  <c r="Q19" i="82"/>
  <c r="P19" i="82"/>
  <c r="O19" i="82"/>
  <c r="Q18" i="82"/>
  <c r="P18" i="82"/>
  <c r="O18" i="82"/>
  <c r="Q17" i="82"/>
  <c r="P17" i="82"/>
  <c r="O17" i="82"/>
  <c r="Q16" i="82"/>
  <c r="P16" i="82"/>
  <c r="O16" i="82"/>
  <c r="Q15" i="82"/>
  <c r="P15" i="82"/>
  <c r="O15" i="82"/>
  <c r="Q14" i="82"/>
  <c r="P14" i="82"/>
  <c r="O14" i="82"/>
  <c r="Q13" i="82"/>
  <c r="P13" i="82"/>
  <c r="O13" i="82"/>
  <c r="Q12" i="82"/>
  <c r="P12" i="82"/>
  <c r="O12" i="82"/>
  <c r="C6" i="82"/>
  <c r="C5" i="82"/>
  <c r="C4" i="82"/>
  <c r="E8" i="2"/>
  <c r="I8" i="2"/>
  <c r="M8" i="2"/>
  <c r="Q8" i="2"/>
  <c r="U8" i="2"/>
  <c r="B5" i="81"/>
  <c r="B4" i="81"/>
  <c r="B3" i="81"/>
  <c r="F16" i="80"/>
  <c r="F17" i="80"/>
  <c r="F18" i="80"/>
  <c r="F19" i="80"/>
  <c r="F20" i="80"/>
  <c r="F21" i="80"/>
  <c r="F22" i="80"/>
  <c r="F23" i="80"/>
  <c r="F24" i="80"/>
  <c r="F25" i="80"/>
  <c r="F26" i="80"/>
  <c r="F27" i="80"/>
  <c r="F28" i="80"/>
  <c r="F29" i="80"/>
  <c r="F30" i="80"/>
  <c r="F31" i="80"/>
  <c r="F32" i="80"/>
  <c r="F33" i="80"/>
  <c r="F34" i="80"/>
  <c r="F35" i="80"/>
  <c r="F36" i="80"/>
  <c r="F37" i="80"/>
  <c r="F38" i="80"/>
  <c r="F39" i="80"/>
  <c r="F40" i="80"/>
  <c r="F41" i="80"/>
  <c r="F42" i="80"/>
  <c r="F43" i="80"/>
  <c r="F44" i="80"/>
  <c r="F45" i="80"/>
  <c r="F46" i="80"/>
  <c r="F47" i="80"/>
  <c r="F48" i="80"/>
  <c r="F49" i="80"/>
  <c r="F50" i="80"/>
  <c r="F51" i="80"/>
  <c r="F52" i="80"/>
  <c r="F53" i="80"/>
  <c r="F54" i="80"/>
  <c r="F55" i="80"/>
  <c r="F56" i="80"/>
  <c r="F57" i="80"/>
  <c r="F58" i="80"/>
  <c r="F59" i="80"/>
  <c r="F60" i="80"/>
  <c r="F61" i="80"/>
  <c r="F62" i="80"/>
  <c r="F63" i="80"/>
  <c r="F64" i="80"/>
  <c r="F65" i="80"/>
  <c r="F66" i="80"/>
  <c r="F67" i="80"/>
  <c r="F68" i="80"/>
  <c r="F69" i="80"/>
  <c r="F70" i="80"/>
  <c r="F71" i="80"/>
  <c r="F72" i="80"/>
  <c r="F73" i="80"/>
  <c r="F74" i="80"/>
  <c r="F75" i="80"/>
  <c r="F76" i="80"/>
  <c r="F77" i="80"/>
  <c r="F78" i="80"/>
  <c r="F79" i="80"/>
  <c r="F80" i="80"/>
  <c r="F81" i="80"/>
  <c r="F82" i="80"/>
  <c r="F83" i="80"/>
  <c r="F84" i="80"/>
  <c r="F85" i="80"/>
  <c r="F86" i="80"/>
  <c r="F87" i="80"/>
  <c r="F88" i="80"/>
  <c r="B6" i="2"/>
  <c r="B5" i="2"/>
  <c r="B4" i="2"/>
  <c r="B3" i="2"/>
  <c r="C5" i="74"/>
  <c r="C4" i="74"/>
  <c r="P27" i="74"/>
  <c r="M28" i="74"/>
  <c r="J28" i="74"/>
  <c r="G28" i="74"/>
  <c r="N25" i="74"/>
  <c r="M25" i="74"/>
  <c r="L25" i="74"/>
  <c r="K25" i="74"/>
  <c r="J25" i="74"/>
  <c r="I25" i="74"/>
  <c r="H25" i="74"/>
  <c r="G25" i="74"/>
  <c r="F25" i="74"/>
  <c r="E25" i="74"/>
  <c r="D25" i="74"/>
  <c r="C25" i="74"/>
  <c r="D28" i="74"/>
  <c r="Q24" i="74"/>
  <c r="P24" i="74"/>
  <c r="O24" i="74"/>
  <c r="Q20" i="74"/>
  <c r="P20" i="74"/>
  <c r="O20" i="74"/>
  <c r="Q19" i="74"/>
  <c r="P19" i="74"/>
  <c r="O19" i="74"/>
  <c r="Q18" i="74"/>
  <c r="P18" i="74"/>
  <c r="O18" i="74"/>
  <c r="Q17" i="74"/>
  <c r="P17" i="74"/>
  <c r="O17" i="74"/>
  <c r="Q16" i="74"/>
  <c r="P16" i="74"/>
  <c r="O16" i="74"/>
  <c r="Q15" i="74"/>
  <c r="P15" i="74"/>
  <c r="O15" i="74"/>
  <c r="Q14" i="74"/>
  <c r="P14" i="74"/>
  <c r="O14" i="74"/>
  <c r="Q13" i="74"/>
  <c r="P13" i="74"/>
  <c r="O13" i="74"/>
  <c r="Q12" i="74"/>
  <c r="P12" i="74"/>
  <c r="O12" i="74"/>
  <c r="B15" i="2"/>
  <c r="C4" i="36"/>
  <c r="C5" i="36"/>
  <c r="C6" i="36"/>
  <c r="R14" i="2"/>
  <c r="R11" i="2"/>
  <c r="S11" i="2"/>
  <c r="T11" i="2"/>
  <c r="U11" i="2"/>
  <c r="R12" i="2"/>
  <c r="S12" i="2"/>
  <c r="T12" i="2"/>
  <c r="U12" i="2"/>
  <c r="R13" i="2"/>
  <c r="S13" i="2"/>
  <c r="T13" i="2"/>
  <c r="U13" i="2"/>
  <c r="S14" i="2"/>
  <c r="T14" i="2"/>
  <c r="U14" i="2"/>
  <c r="C15" i="2"/>
  <c r="D15" i="2"/>
  <c r="E15" i="2"/>
  <c r="F15" i="2"/>
  <c r="G15" i="2"/>
  <c r="H15" i="2"/>
  <c r="I15" i="2"/>
  <c r="J15" i="2"/>
  <c r="K15" i="2"/>
  <c r="L15" i="2"/>
  <c r="M15" i="2"/>
  <c r="N15" i="2"/>
  <c r="O15" i="2"/>
  <c r="P15" i="2"/>
  <c r="Q15" i="2"/>
  <c r="P28" i="84"/>
  <c r="T15" i="2" l="1"/>
  <c r="P25" i="74"/>
  <c r="Q25" i="82"/>
  <c r="P28" i="74"/>
  <c r="O25" i="82"/>
  <c r="P28" i="82"/>
  <c r="P25" i="84"/>
  <c r="U15" i="2"/>
  <c r="R15" i="2"/>
  <c r="P25" i="83"/>
  <c r="F110" i="85"/>
  <c r="Q17" i="91"/>
  <c r="P25" i="82"/>
  <c r="O25" i="84"/>
  <c r="F110" i="86"/>
  <c r="Q19" i="91"/>
  <c r="S15" i="2"/>
  <c r="P29" i="74"/>
  <c r="Q25" i="74"/>
  <c r="P29" i="83"/>
  <c r="O25" i="74"/>
  <c r="P29" i="82"/>
  <c r="O25" i="83"/>
  <c r="P29" i="84"/>
  <c r="F110" i="80"/>
  <c r="Q18" i="91"/>
  <c r="N21" i="91"/>
  <c r="F110" i="87"/>
  <c r="P21" i="91"/>
  <c r="Q21" i="91" s="1"/>
  <c r="Q20" i="91"/>
  <c r="Q25" i="83"/>
  <c r="Q25" i="84"/>
  <c r="P28" i="8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C4" authorId="0" shapeId="0" xr:uid="{00000000-0006-0000-0200-000001000000}">
      <text>
        <r>
          <rPr>
            <sz val="8"/>
            <color indexed="81"/>
            <rFont val="Tahoma"/>
            <family val="2"/>
          </rPr>
          <t xml:space="preserve">this column can contain negative numbers signifying catches transferred to another area. </t>
        </r>
      </text>
    </comment>
  </commentList>
</comments>
</file>

<file path=xl/sharedStrings.xml><?xml version="1.0" encoding="utf-8"?>
<sst xmlns="http://schemas.openxmlformats.org/spreadsheetml/2006/main" count="892" uniqueCount="159">
  <si>
    <t>Then rename the sheet according the new fishing area by double clicking on it. (Rename also this CANUM sheet according fishing area).</t>
  </si>
  <si>
    <r>
      <t>TONNES SHOULD ALWAYS BE FILLED IN</t>
    </r>
    <r>
      <rPr>
        <u/>
        <sz val="12"/>
        <color indexed="10"/>
        <rFont val="Geneva"/>
        <family val="2"/>
      </rPr>
      <t xml:space="preserve"> (</t>
    </r>
    <r>
      <rPr>
        <sz val="12"/>
        <color indexed="10"/>
        <rFont val="Geneva"/>
        <family val="2"/>
      </rPr>
      <t>even if no numbers at age data are available !)</t>
    </r>
  </si>
  <si>
    <t>Species:</t>
  </si>
  <si>
    <t>Year:</t>
  </si>
  <si>
    <t xml:space="preserve">Numbers </t>
  </si>
  <si>
    <t>Mean</t>
  </si>
  <si>
    <t xml:space="preserve">at age </t>
  </si>
  <si>
    <t>Weight</t>
  </si>
  <si>
    <t>(g)</t>
  </si>
  <si>
    <t>0</t>
  </si>
  <si>
    <t>5</t>
  </si>
  <si>
    <t>6</t>
  </si>
  <si>
    <t>7</t>
  </si>
  <si>
    <t>8</t>
  </si>
  <si>
    <t>Plus-group</t>
  </si>
  <si>
    <t xml:space="preserve">Year : </t>
  </si>
  <si>
    <t xml:space="preserve">Revised (date) : </t>
  </si>
  <si>
    <t>EXCEPT WHEN THESE ARE USED TO CALCULATE CATCH IN NUMBERS AT AGE!</t>
  </si>
  <si>
    <t>(tonnes)</t>
  </si>
  <si>
    <r>
      <t xml:space="preserve">SUMMARY OF SAMPLING FROM </t>
    </r>
    <r>
      <rPr>
        <b/>
        <sz val="14"/>
        <color indexed="10"/>
        <rFont val="Geneva"/>
        <family val="2"/>
      </rPr>
      <t>COMMERCIAL</t>
    </r>
    <r>
      <rPr>
        <sz val="12"/>
        <rFont val="Geneva"/>
        <family val="2"/>
      </rPr>
      <t xml:space="preserve"> </t>
    </r>
    <r>
      <rPr>
        <b/>
        <sz val="14"/>
        <rFont val="Geneva"/>
        <family val="2"/>
      </rPr>
      <t>FISHERY</t>
    </r>
  </si>
  <si>
    <t>General comments</t>
  </si>
  <si>
    <t xml:space="preserve">Country : </t>
  </si>
  <si>
    <t xml:space="preserve">Species : </t>
  </si>
  <si>
    <t>Catch data (WG estimate) should include discards and unreported landings.</t>
  </si>
  <si>
    <t>Total/Mean --&gt;</t>
  </si>
  <si>
    <t xml:space="preserve">Catch </t>
  </si>
  <si>
    <t xml:space="preserve"> (t)</t>
  </si>
  <si>
    <t xml:space="preserve">SoP </t>
  </si>
  <si>
    <t xml:space="preserve"> (%)</t>
  </si>
  <si>
    <t xml:space="preserve">No. aged </t>
  </si>
  <si>
    <t xml:space="preserve"> (n)</t>
  </si>
  <si>
    <t xml:space="preserve">New sheets for other fishing areas may be copied by &lt;EDIT&gt; &lt;MOVE OR COPY SHEET&gt;. </t>
  </si>
  <si>
    <t>Mean horse power (HP)</t>
  </si>
  <si>
    <t>Average crew size</t>
  </si>
  <si>
    <t>Target species</t>
  </si>
  <si>
    <t>ONLY SAMPLES FROM COMMERCIAL FISHERY!  NO SAMPLES FROM RESEARCH VESSEL SURVEYS,</t>
  </si>
  <si>
    <t>TOTAL</t>
  </si>
  <si>
    <t>Quarter 2</t>
  </si>
  <si>
    <t>Quarter 3</t>
  </si>
  <si>
    <t>Quarter 4</t>
  </si>
  <si>
    <t>ALL YEAR</t>
  </si>
  <si>
    <t>samples</t>
  </si>
  <si>
    <t>measured</t>
  </si>
  <si>
    <t>aged</t>
  </si>
  <si>
    <t>(n)</t>
  </si>
  <si>
    <t xml:space="preserve">Fleet : </t>
  </si>
  <si>
    <t xml:space="preserve">Unit : </t>
  </si>
  <si>
    <t>Length</t>
  </si>
  <si>
    <t>All year</t>
  </si>
  <si>
    <t>(cm)</t>
  </si>
  <si>
    <t>1</t>
  </si>
  <si>
    <t>2</t>
  </si>
  <si>
    <t>3</t>
  </si>
  <si>
    <t>4</t>
  </si>
  <si>
    <t>These data can be used as presented and there are no known problematic issues which require</t>
  </si>
  <si>
    <t>there are more than one fleet landing herring and/or sprat.</t>
  </si>
  <si>
    <t>If this workbook is an alteration to a previous submission, enter the date of the previous submission</t>
  </si>
  <si>
    <t>Total</t>
  </si>
  <si>
    <t>(kg)</t>
  </si>
  <si>
    <t xml:space="preserve">Area:  </t>
  </si>
  <si>
    <t>Quarter1</t>
  </si>
  <si>
    <t>Quarter 1</t>
  </si>
  <si>
    <t>CATCH NUMBERS, LENGTH AND WEIGHT AT AGE</t>
  </si>
  <si>
    <t>Mean vessel length (m)</t>
  </si>
  <si>
    <t>Type of vessel</t>
  </si>
  <si>
    <t>Horse power range (HP)</t>
  </si>
  <si>
    <t>Human consumption or fish meal</t>
  </si>
  <si>
    <t>Value / kg (national currency)</t>
  </si>
  <si>
    <t>If NO, please describe the problem in the text field on the next page</t>
  </si>
  <si>
    <t xml:space="preserve">Year:  </t>
  </si>
  <si>
    <t>TOTAL numbers</t>
  </si>
  <si>
    <t>Comments</t>
  </si>
  <si>
    <t>Number of vessels</t>
  </si>
  <si>
    <t>Fishing Gear</t>
  </si>
  <si>
    <t>Length range vessels (m)</t>
  </si>
  <si>
    <t>SPECIES:</t>
  </si>
  <si>
    <t>PERSON RESPONSIBLE FOR DATA:</t>
  </si>
  <si>
    <t>DATE SUBMITTED:</t>
  </si>
  <si>
    <t>EMAIL:</t>
  </si>
  <si>
    <t>ADDRESS:</t>
  </si>
  <si>
    <t>South Pacific Regional Fisheries Management Organisation</t>
  </si>
  <si>
    <t>Data Submission Work Book (v1.0.0, Sep. 2015)</t>
  </si>
  <si>
    <t>Jack mackerel</t>
  </si>
  <si>
    <t>TEL</t>
  </si>
  <si>
    <t xml:space="preserve">discussion and agreement within the Scientific Committee meeting </t>
  </si>
  <si>
    <t>Northern Chile</t>
  </si>
  <si>
    <t>Fleet 1: Northern Chile (inside EEZ)</t>
  </si>
  <si>
    <t>Fleet 2: South-Central Chile (inside EEZ)</t>
  </si>
  <si>
    <t>Fleet 3: Peru &amp; Equador (inside EEZ)</t>
  </si>
  <si>
    <t>Fleet 4: Offshore (outside EEZ)</t>
  </si>
  <si>
    <t>Age</t>
  </si>
  <si>
    <t>12+</t>
  </si>
  <si>
    <t>Fork length</t>
  </si>
  <si>
    <t>South-Central Chile</t>
  </si>
  <si>
    <t>Peru &amp; Equador</t>
  </si>
  <si>
    <t>Offshore</t>
  </si>
  <si>
    <t>Fleet 1</t>
  </si>
  <si>
    <t>Fleet 1 Northern Chile</t>
  </si>
  <si>
    <t>Fleet 2 South-Central Chile</t>
  </si>
  <si>
    <t>Fleet 3 Peru &amp; Equador</t>
  </si>
  <si>
    <t>Fleet 4 Offshore</t>
  </si>
  <si>
    <t>Fleet 4</t>
  </si>
  <si>
    <t>Fleet 3</t>
  </si>
  <si>
    <t>Fleet 2</t>
  </si>
  <si>
    <t>WG for the Assessment of Herring in the Area south of 62°N</t>
  </si>
  <si>
    <t>CATCH DATA</t>
  </si>
  <si>
    <t>Only fill in yellow cells!</t>
  </si>
  <si>
    <r>
      <t xml:space="preserve">    </t>
    </r>
    <r>
      <rPr>
        <sz val="10"/>
        <color indexed="8"/>
        <rFont val="Geneva"/>
        <family val="2"/>
      </rPr>
      <t xml:space="preserve">COLUMN A: </t>
    </r>
    <r>
      <rPr>
        <sz val="10"/>
        <color indexed="10"/>
        <rFont val="Geneva"/>
        <family val="2"/>
      </rPr>
      <t>ICES Division(s) or sub-division(s).</t>
    </r>
  </si>
  <si>
    <r>
      <t xml:space="preserve">    COLUMN B: </t>
    </r>
    <r>
      <rPr>
        <sz val="10"/>
        <color indexed="10"/>
        <rFont val="Geneva"/>
        <family val="2"/>
      </rPr>
      <t xml:space="preserve">Official landings as supplied by national authorities (tonnes). </t>
    </r>
  </si>
  <si>
    <r>
      <t xml:space="preserve">    COLUMN C: </t>
    </r>
    <r>
      <rPr>
        <sz val="10"/>
        <color indexed="10"/>
        <rFont val="Geneva"/>
        <family val="2"/>
      </rPr>
      <t>Unallocated landings and/or misreportings (tonnes).</t>
    </r>
  </si>
  <si>
    <t xml:space="preserve">                     These can be either possitive or negative !</t>
  </si>
  <si>
    <r>
      <t xml:space="preserve">    COLUMN D:</t>
    </r>
    <r>
      <rPr>
        <sz val="10"/>
        <color indexed="10"/>
        <rFont val="Geneva"/>
        <family val="2"/>
      </rPr>
      <t xml:space="preserve"> The Area-Misreporting column is for catches which are reported as taken in one area but </t>
    </r>
  </si>
  <si>
    <t xml:space="preserve">                     reported in another. Values can be either positive or negative.</t>
  </si>
  <si>
    <r>
      <t xml:space="preserve">    COLUMN E:</t>
    </r>
    <r>
      <rPr>
        <sz val="10"/>
        <color indexed="10"/>
        <rFont val="Geneva"/>
        <family val="2"/>
      </rPr>
      <t xml:space="preserve"> Estimate of discards (tonnes). </t>
    </r>
  </si>
  <si>
    <t xml:space="preserve"> </t>
  </si>
  <si>
    <r>
      <t xml:space="preserve">    COLUMN F: </t>
    </r>
    <r>
      <rPr>
        <sz val="10"/>
        <color indexed="10"/>
        <rFont val="Geneva"/>
        <family val="2"/>
      </rPr>
      <t>WG catch estimate (sum of previous three columns).</t>
    </r>
  </si>
  <si>
    <t>1st Quarter</t>
  </si>
  <si>
    <t>2nd Quarter</t>
  </si>
  <si>
    <t>3rd Quarter</t>
  </si>
  <si>
    <t>4th Quarter</t>
  </si>
  <si>
    <t>all quarters</t>
  </si>
  <si>
    <t>TOTAL CATCH</t>
  </si>
  <si>
    <t>REMARKS</t>
  </si>
  <si>
    <t>OFFICIAL LANDINGS</t>
  </si>
  <si>
    <t>DISCARDS</t>
  </si>
  <si>
    <t>WG estimate</t>
  </si>
  <si>
    <t>(e.g. to state to which area misre-</t>
  </si>
  <si>
    <t>ported catches are transferred</t>
  </si>
  <si>
    <t xml:space="preserve">PLEASE CHECK: </t>
  </si>
  <si>
    <t>Final total catch (WG estimate) should be the same as the sum of the catch totals of all CANUM sheets !</t>
  </si>
  <si>
    <t>Fleet1</t>
  </si>
  <si>
    <t>total of sample</t>
  </si>
  <si>
    <t>(thousands)</t>
  </si>
  <si>
    <t>thousands</t>
  </si>
  <si>
    <t>MEMBER</t>
  </si>
  <si>
    <t>Member:</t>
  </si>
  <si>
    <r>
      <t xml:space="preserve">Please specify </t>
    </r>
    <r>
      <rPr>
        <b/>
        <sz val="10"/>
        <rFont val="Geneva"/>
        <family val="2"/>
      </rPr>
      <t>any problem</t>
    </r>
    <r>
      <rPr>
        <sz val="10"/>
        <rFont val="Geneva"/>
        <family val="2"/>
      </rPr>
      <t xml:space="preserve"> to be discussed within the SC HERE:</t>
    </r>
  </si>
  <si>
    <r>
      <t xml:space="preserve">Fleet data: </t>
    </r>
    <r>
      <rPr>
        <sz val="10"/>
        <rFont val="Geneva"/>
        <family val="2"/>
      </rPr>
      <t xml:space="preserve"> please provide a very bief fleet description for your member state in the input fields below, especially if </t>
    </r>
  </si>
  <si>
    <t>Fleet</t>
  </si>
  <si>
    <t>RETAINED</t>
  </si>
  <si>
    <t>FLEET</t>
  </si>
  <si>
    <t>Fleet:</t>
  </si>
  <si>
    <t>Length measurements in total length (TL) or fork length (FL). Supply conversion factor</t>
  </si>
  <si>
    <t>Of the sample(s) taken, raised to the total catch of the sample(s)</t>
  </si>
  <si>
    <t>Catch sample(s)</t>
  </si>
  <si>
    <t>LENGTH DISTRIBUTIONS BY FLEET AND QUARTER</t>
  </si>
  <si>
    <t>Raised to the total catch by quarter</t>
  </si>
  <si>
    <t>AGE-LENGTH DISTRIBUTIONS BY FLEET AND QUARTER</t>
  </si>
  <si>
    <t>Thousands</t>
  </si>
  <si>
    <t>WEIGHT-LENGTH DISTRIBUTIONS BY FLEET AND QUARTER</t>
  </si>
  <si>
    <t>Kg</t>
  </si>
  <si>
    <t>Weight of an individual at length</t>
  </si>
  <si>
    <t>Seok-Gwan Choi</t>
    <phoneticPr fontId="38" type="noConversion"/>
  </si>
  <si>
    <t>Fleet 4</t>
    <phoneticPr fontId="37" type="noConversion"/>
  </si>
  <si>
    <t>sgchoi@korea.kr</t>
    <phoneticPr fontId="38" type="noConversion"/>
  </si>
  <si>
    <t>+82-51-720-2320</t>
    <phoneticPr fontId="38" type="noConversion"/>
  </si>
  <si>
    <t>216 Gijanghaean-ro, Gijang-gun, 46083, Busan, Korea</t>
    <phoneticPr fontId="38" type="noConversion"/>
  </si>
  <si>
    <t>Korea</t>
  </si>
  <si>
    <t>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</si>
</sst>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164" formatCode="0.0"/>
    <numFmt numFmtId="165" formatCode="0.000"/>
    <numFmt numFmtId="166" formatCode="###\ ###"/>
    <numFmt numFmtId="167" formatCode="###\ ###\ ###"/>
    <numFmt numFmtId="168" formatCode="d\-mmm\-yyyy"/>
    <numFmt numFmtId="169" formatCode="0.000_);[Red]\(0.000\)"/>
  </numFmts>
  <fonts count="41">
    <font>
      <sz val="10"/>
      <name val="Geneva"/>
      <family val="2"/>
    </font>
    <font>
      <b/>
      <sz val="10"/>
      <name val="Geneva"/>
      <family val="2"/>
    </font>
    <font>
      <sz val="10"/>
      <name val="Geneva"/>
      <family val="2"/>
    </font>
    <font>
      <b/>
      <sz val="12"/>
      <name val="Geneva"/>
      <family val="2"/>
    </font>
    <font>
      <b/>
      <sz val="11"/>
      <name val="Geneva"/>
      <family val="2"/>
    </font>
    <font>
      <b/>
      <sz val="10"/>
      <color indexed="8"/>
      <name val="Geneva"/>
      <family val="2"/>
    </font>
    <font>
      <sz val="10"/>
      <color indexed="18"/>
      <name val="Geneva"/>
      <family val="2"/>
    </font>
    <font>
      <b/>
      <sz val="10"/>
      <color indexed="18"/>
      <name val="Geneva"/>
      <family val="2"/>
    </font>
    <font>
      <sz val="10"/>
      <color indexed="12"/>
      <name val="Geneva"/>
      <family val="2"/>
    </font>
    <font>
      <b/>
      <sz val="14"/>
      <name val="Geneva"/>
      <family val="2"/>
    </font>
    <font>
      <sz val="10"/>
      <color indexed="8"/>
      <name val="Geneva"/>
      <family val="2"/>
    </font>
    <font>
      <b/>
      <sz val="12"/>
      <color indexed="18"/>
      <name val="Geneva"/>
      <family val="2"/>
    </font>
    <font>
      <sz val="12"/>
      <name val="Geneva"/>
      <family val="2"/>
    </font>
    <font>
      <sz val="9"/>
      <name val="Geneva"/>
      <family val="2"/>
    </font>
    <font>
      <u/>
      <sz val="10"/>
      <color indexed="10"/>
      <name val="Geneva"/>
      <family val="2"/>
    </font>
    <font>
      <sz val="10"/>
      <color indexed="10"/>
      <name val="Geneva"/>
      <family val="2"/>
    </font>
    <font>
      <b/>
      <sz val="10"/>
      <color indexed="10"/>
      <name val="Geneva"/>
      <family val="2"/>
    </font>
    <font>
      <sz val="12"/>
      <color indexed="10"/>
      <name val="Geneva"/>
      <family val="2"/>
    </font>
    <font>
      <b/>
      <u/>
      <sz val="12"/>
      <color indexed="10"/>
      <name val="Geneva"/>
      <family val="2"/>
    </font>
    <font>
      <u/>
      <sz val="12"/>
      <color indexed="10"/>
      <name val="Geneva"/>
      <family val="2"/>
    </font>
    <font>
      <b/>
      <sz val="14"/>
      <color indexed="18"/>
      <name val="Geneva"/>
      <family val="2"/>
    </font>
    <font>
      <sz val="14"/>
      <name val="Geneva"/>
      <family val="2"/>
    </font>
    <font>
      <b/>
      <sz val="14"/>
      <color indexed="10"/>
      <name val="Geneva"/>
      <family val="2"/>
    </font>
    <font>
      <b/>
      <sz val="12"/>
      <color indexed="10"/>
      <name val="Geneva"/>
      <family val="2"/>
    </font>
    <font>
      <b/>
      <sz val="8"/>
      <name val="Geneva"/>
      <family val="2"/>
    </font>
    <font>
      <sz val="16"/>
      <name val="Geneva"/>
      <family val="2"/>
    </font>
    <font>
      <b/>
      <i/>
      <sz val="18"/>
      <name val="Arial"/>
      <family val="2"/>
    </font>
    <font>
      <b/>
      <sz val="9"/>
      <name val="Geneva"/>
      <family val="2"/>
    </font>
    <font>
      <b/>
      <i/>
      <sz val="12"/>
      <name val="Geneva"/>
      <family val="2"/>
    </font>
    <font>
      <u/>
      <sz val="10"/>
      <color indexed="12"/>
      <name val="Geneva"/>
      <family val="2"/>
    </font>
    <font>
      <b/>
      <sz val="12"/>
      <color indexed="9"/>
      <name val="Geneva"/>
      <family val="2"/>
    </font>
    <font>
      <b/>
      <sz val="16"/>
      <name val="Geneva"/>
      <family val="2"/>
    </font>
    <font>
      <sz val="12"/>
      <color indexed="18"/>
      <name val="Geneva"/>
      <family val="2"/>
    </font>
    <font>
      <b/>
      <sz val="18"/>
      <color indexed="10"/>
      <name val="Geneva"/>
      <family val="2"/>
    </font>
    <font>
      <sz val="14"/>
      <color indexed="10"/>
      <name val="Geneva"/>
      <family val="2"/>
    </font>
    <font>
      <sz val="8"/>
      <color indexed="81"/>
      <name val="Tahoma"/>
      <family val="2"/>
    </font>
    <font>
      <b/>
      <sz val="11"/>
      <color indexed="8"/>
      <name val="Geneva"/>
      <family val="2"/>
    </font>
    <font>
      <sz val="8"/>
      <name val="돋움"/>
      <family val="3"/>
      <charset val="129"/>
    </font>
    <font>
      <sz val="10"/>
      <name val="Geneva"/>
      <family val="2"/>
    </font>
    <font>
      <b/>
      <sz val="12"/>
      <color rgb="FFFF0000"/>
      <name val="Geneva"/>
      <family val="2"/>
    </font>
    <font>
      <sz val="10"/>
      <color rgb="FF000000"/>
      <name val="Geneva"/>
    </font>
  </fonts>
  <fills count="9">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CC"/>
        <bgColor indexed="64"/>
      </patternFill>
    </fill>
    <fill>
      <patternFill patternType="solid">
        <fgColor theme="0"/>
        <bgColor indexed="64"/>
      </patternFill>
    </fill>
  </fills>
  <borders count="125">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dotted">
        <color indexed="64"/>
      </left>
      <right style="dotted">
        <color indexed="64"/>
      </right>
      <top style="thin">
        <color indexed="64"/>
      </top>
      <bottom/>
      <diagonal/>
    </border>
    <border>
      <left/>
      <right style="medium">
        <color indexed="64"/>
      </right>
      <top style="medium">
        <color indexed="64"/>
      </top>
      <bottom/>
      <diagonal/>
    </border>
    <border>
      <left style="dotted">
        <color indexed="64"/>
      </left>
      <right style="dotted">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dotted">
        <color indexed="64"/>
      </left>
      <right style="dotted">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medium">
        <color indexed="64"/>
      </left>
      <right/>
      <top/>
      <bottom style="hair">
        <color indexed="64"/>
      </bottom>
      <diagonal/>
    </border>
    <border>
      <left style="dotted">
        <color indexed="64"/>
      </left>
      <right style="dotted">
        <color indexed="64"/>
      </right>
      <top/>
      <bottom style="hair">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indexed="64"/>
      </left>
      <right style="dotted">
        <color indexed="64"/>
      </right>
      <top style="medium">
        <color indexed="64"/>
      </top>
      <bottom/>
      <diagonal/>
    </border>
    <border>
      <left style="medium">
        <color indexed="64"/>
      </left>
      <right style="dotted">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dotted">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style="dashed">
        <color indexed="64"/>
      </right>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ashed">
        <color indexed="64"/>
      </right>
      <top/>
      <bottom style="dotted">
        <color indexed="64"/>
      </bottom>
      <diagonal/>
    </border>
    <border>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medium">
        <color indexed="64"/>
      </left>
      <right/>
      <top style="thin">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4">
    <xf numFmtId="0" fontId="0" fillId="0" borderId="0"/>
    <xf numFmtId="9" fontId="2" fillId="0" borderId="0" applyFont="0" applyFill="0" applyBorder="0" applyAlignment="0" applyProtection="0"/>
    <xf numFmtId="41"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410">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0" fillId="2" borderId="0" xfId="0" applyFill="1"/>
    <xf numFmtId="0" fontId="1"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3" fillId="2" borderId="0" xfId="0" applyFont="1" applyFill="1" applyAlignment="1">
      <alignment horizontal="left" vertical="center"/>
    </xf>
    <xf numFmtId="0" fontId="0" fillId="2" borderId="0" xfId="0" applyFill="1" applyAlignment="1">
      <alignment horizontal="right" vertical="center"/>
    </xf>
    <xf numFmtId="0" fontId="2" fillId="2" borderId="0" xfId="0" applyFont="1" applyFill="1" applyBorder="1" applyAlignment="1">
      <alignment horizontal="right" vertical="center"/>
    </xf>
    <xf numFmtId="0" fontId="2"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vertical="center"/>
    </xf>
    <xf numFmtId="0" fontId="0" fillId="2" borderId="9" xfId="0" applyFill="1" applyBorder="1" applyAlignment="1">
      <alignment vertical="center"/>
    </xf>
    <xf numFmtId="164" fontId="2" fillId="2" borderId="10" xfId="0" applyNumberFormat="1" applyFont="1" applyFill="1" applyBorder="1" applyAlignment="1">
      <alignment horizontal="right" vertical="center"/>
    </xf>
    <xf numFmtId="1" fontId="2" fillId="2" borderId="11" xfId="0" applyNumberFormat="1" applyFont="1" applyFill="1" applyBorder="1" applyAlignment="1">
      <alignment horizontal="right" vertical="center"/>
    </xf>
    <xf numFmtId="1" fontId="2" fillId="2" borderId="12" xfId="0" applyNumberFormat="1" applyFont="1" applyFill="1" applyBorder="1" applyAlignment="1">
      <alignment horizontal="right" vertical="center"/>
    </xf>
    <xf numFmtId="0" fontId="0" fillId="2" borderId="0" xfId="0" applyFill="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0" fillId="2" borderId="0" xfId="0" applyFont="1" applyFill="1"/>
    <xf numFmtId="0" fontId="1" fillId="0" borderId="15" xfId="0" applyFont="1" applyBorder="1" applyAlignment="1">
      <alignment horizontal="right"/>
    </xf>
    <xf numFmtId="0" fontId="0" fillId="2" borderId="0" xfId="0" applyFill="1" applyAlignment="1">
      <alignment horizontal="right"/>
    </xf>
    <xf numFmtId="0" fontId="0" fillId="2" borderId="0" xfId="0" applyFill="1" applyBorder="1" applyAlignment="1">
      <alignment horizontal="center"/>
    </xf>
    <xf numFmtId="0" fontId="1" fillId="2" borderId="0" xfId="0" applyFont="1" applyFill="1" applyAlignment="1">
      <alignment horizontal="left"/>
    </xf>
    <xf numFmtId="0" fontId="9" fillId="2" borderId="0" xfId="0" applyFont="1" applyFill="1" applyAlignment="1">
      <alignment horizontal="left" vertical="center"/>
    </xf>
    <xf numFmtId="0" fontId="0" fillId="2" borderId="0" xfId="0" applyFill="1" applyBorder="1" applyAlignment="1">
      <alignment horizontal="right" vertical="center"/>
    </xf>
    <xf numFmtId="0" fontId="0" fillId="2" borderId="0" xfId="0" applyFill="1" applyBorder="1" applyAlignment="1">
      <alignment vertical="center"/>
    </xf>
    <xf numFmtId="166" fontId="2" fillId="0" borderId="16" xfId="0" applyNumberFormat="1" applyFont="1" applyBorder="1" applyAlignment="1">
      <alignment horizontal="center"/>
    </xf>
    <xf numFmtId="166" fontId="8" fillId="3" borderId="17" xfId="0" applyNumberFormat="1" applyFont="1" applyFill="1" applyBorder="1" applyAlignment="1">
      <alignment horizontal="center"/>
    </xf>
    <xf numFmtId="166" fontId="8" fillId="3" borderId="16" xfId="0" applyNumberFormat="1" applyFont="1" applyFill="1" applyBorder="1" applyAlignment="1">
      <alignment horizontal="center"/>
    </xf>
    <xf numFmtId="166" fontId="0" fillId="0" borderId="18" xfId="0" applyNumberFormat="1" applyBorder="1" applyAlignment="1">
      <alignment horizontal="center"/>
    </xf>
    <xf numFmtId="0" fontId="0" fillId="2" borderId="0" xfId="0" applyFill="1" applyAlignment="1">
      <alignment horizontal="left" vertical="top"/>
    </xf>
    <xf numFmtId="0" fontId="0" fillId="2" borderId="0" xfId="0" applyFill="1" applyAlignment="1"/>
    <xf numFmtId="0" fontId="0" fillId="3" borderId="19" xfId="0" applyFill="1" applyBorder="1" applyAlignment="1">
      <alignment horizontal="left" vertical="center" wrapText="1"/>
    </xf>
    <xf numFmtId="0" fontId="0" fillId="3" borderId="20" xfId="0" applyFill="1" applyBorder="1" applyAlignment="1">
      <alignment horizontal="left" vertical="center" wrapText="1"/>
    </xf>
    <xf numFmtId="0" fontId="0" fillId="3" borderId="21" xfId="0" applyFill="1" applyBorder="1" applyAlignment="1">
      <alignment horizontal="lef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3" borderId="25"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27" xfId="0" applyFill="1" applyBorder="1" applyAlignment="1">
      <alignment horizontal="center" vertical="center" wrapText="1"/>
    </xf>
    <xf numFmtId="0" fontId="13" fillId="2" borderId="28" xfId="0" applyFont="1" applyFill="1" applyBorder="1" applyAlignment="1">
      <alignment horizontal="right" vertical="center" wrapText="1"/>
    </xf>
    <xf numFmtId="0" fontId="13" fillId="2" borderId="13" xfId="0" applyFont="1" applyFill="1" applyBorder="1" applyAlignment="1">
      <alignment horizontal="right" vertical="center" wrapText="1"/>
    </xf>
    <xf numFmtId="0" fontId="13" fillId="2" borderId="29" xfId="0" applyFont="1" applyFill="1" applyBorder="1" applyAlignment="1">
      <alignment horizontal="right" vertical="center" wrapText="1"/>
    </xf>
    <xf numFmtId="0" fontId="0" fillId="0" borderId="0" xfId="0" applyAlignment="1">
      <alignment vertical="center" wrapText="1"/>
    </xf>
    <xf numFmtId="0" fontId="0" fillId="2" borderId="30" xfId="0" applyFill="1" applyBorder="1" applyAlignment="1">
      <alignment horizontal="right"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2" fillId="2" borderId="30" xfId="0" applyFont="1" applyFill="1" applyBorder="1" applyAlignment="1">
      <alignment horizontal="right" vertical="center"/>
    </xf>
    <xf numFmtId="0" fontId="2" fillId="2" borderId="31" xfId="0" applyFont="1" applyFill="1" applyBorder="1" applyAlignment="1">
      <alignment horizontal="right" vertical="center"/>
    </xf>
    <xf numFmtId="0" fontId="2" fillId="2" borderId="32" xfId="0" applyFont="1" applyFill="1" applyBorder="1" applyAlignment="1">
      <alignment horizontal="right" vertical="center"/>
    </xf>
    <xf numFmtId="0" fontId="6" fillId="3" borderId="33" xfId="0" applyFont="1" applyFill="1" applyBorder="1" applyAlignment="1" applyProtection="1">
      <alignment vertical="center"/>
      <protection locked="0"/>
    </xf>
    <xf numFmtId="0" fontId="6" fillId="3" borderId="34" xfId="0" applyFont="1" applyFill="1" applyBorder="1" applyAlignment="1" applyProtection="1">
      <alignment vertical="center"/>
      <protection locked="0"/>
    </xf>
    <xf numFmtId="0" fontId="6" fillId="3" borderId="35" xfId="0" applyFont="1" applyFill="1" applyBorder="1" applyAlignment="1" applyProtection="1">
      <alignment vertical="center"/>
      <protection locked="0"/>
    </xf>
    <xf numFmtId="0" fontId="6" fillId="3" borderId="36" xfId="0" applyFont="1" applyFill="1" applyBorder="1" applyAlignment="1" applyProtection="1">
      <alignment vertical="center"/>
      <protection locked="0"/>
    </xf>
    <xf numFmtId="167" fontId="6" fillId="3" borderId="37" xfId="0" applyNumberFormat="1" applyFont="1" applyFill="1" applyBorder="1" applyAlignment="1" applyProtection="1">
      <alignment vertical="center"/>
      <protection locked="0"/>
    </xf>
    <xf numFmtId="167" fontId="6" fillId="3" borderId="38" xfId="0" applyNumberFormat="1" applyFont="1" applyFill="1" applyBorder="1" applyAlignment="1" applyProtection="1">
      <alignment vertical="center"/>
      <protection locked="0"/>
    </xf>
    <xf numFmtId="167" fontId="1" fillId="0" borderId="39" xfId="0" applyNumberFormat="1" applyFont="1" applyFill="1" applyBorder="1" applyAlignment="1">
      <alignment vertical="center"/>
    </xf>
    <xf numFmtId="167" fontId="1" fillId="0" borderId="38" xfId="0" applyNumberFormat="1" applyFont="1" applyFill="1" applyBorder="1" applyAlignment="1">
      <alignment vertical="center"/>
    </xf>
    <xf numFmtId="166" fontId="1" fillId="0" borderId="33" xfId="0" applyNumberFormat="1" applyFont="1" applyFill="1" applyBorder="1" applyAlignment="1">
      <alignment vertical="center"/>
    </xf>
    <xf numFmtId="166" fontId="1" fillId="0" borderId="34" xfId="0" applyNumberFormat="1" applyFont="1" applyFill="1" applyBorder="1" applyAlignment="1">
      <alignment vertical="center"/>
    </xf>
    <xf numFmtId="166" fontId="1" fillId="0" borderId="35" xfId="0" applyNumberFormat="1" applyFont="1" applyFill="1" applyBorder="1" applyAlignment="1">
      <alignment vertical="center"/>
    </xf>
    <xf numFmtId="166" fontId="1" fillId="0" borderId="36" xfId="0" applyNumberFormat="1" applyFont="1" applyFill="1" applyBorder="1" applyAlignment="1">
      <alignment vertical="center"/>
    </xf>
    <xf numFmtId="166" fontId="1" fillId="0" borderId="40" xfId="0" applyNumberFormat="1" applyFont="1" applyFill="1" applyBorder="1" applyAlignment="1">
      <alignment vertical="center"/>
    </xf>
    <xf numFmtId="166" fontId="1" fillId="0" borderId="41" xfId="0" applyNumberFormat="1" applyFont="1" applyFill="1" applyBorder="1" applyAlignment="1">
      <alignment vertical="center"/>
    </xf>
    <xf numFmtId="166" fontId="6" fillId="3" borderId="33" xfId="0" applyNumberFormat="1" applyFont="1" applyFill="1" applyBorder="1" applyAlignment="1" applyProtection="1">
      <alignment vertical="center"/>
      <protection locked="0"/>
    </xf>
    <xf numFmtId="166" fontId="6" fillId="3" borderId="34" xfId="0" applyNumberFormat="1" applyFont="1" applyFill="1" applyBorder="1" applyAlignment="1" applyProtection="1">
      <alignment vertical="center"/>
      <protection locked="0"/>
    </xf>
    <xf numFmtId="166" fontId="6" fillId="3" borderId="35" xfId="0" applyNumberFormat="1" applyFont="1" applyFill="1" applyBorder="1" applyAlignment="1" applyProtection="1">
      <alignment vertical="center"/>
      <protection locked="0"/>
    </xf>
    <xf numFmtId="166" fontId="6" fillId="3" borderId="36" xfId="0" applyNumberFormat="1" applyFont="1" applyFill="1" applyBorder="1" applyAlignment="1" applyProtection="1">
      <alignment vertical="center"/>
      <protection locked="0"/>
    </xf>
    <xf numFmtId="167" fontId="2" fillId="2" borderId="1" xfId="0" applyNumberFormat="1" applyFont="1" applyFill="1" applyBorder="1" applyAlignment="1">
      <alignment horizontal="right" vertical="center"/>
    </xf>
    <xf numFmtId="0" fontId="3" fillId="2" borderId="0" xfId="0" applyFont="1" applyFill="1" applyBorder="1" applyAlignment="1">
      <alignment horizontal="left" vertical="center"/>
    </xf>
    <xf numFmtId="0" fontId="12" fillId="2" borderId="0" xfId="0" applyFont="1" applyFill="1" applyBorder="1" applyAlignment="1">
      <alignment vertical="center"/>
    </xf>
    <xf numFmtId="0" fontId="11" fillId="3" borderId="2" xfId="0" applyFont="1" applyFill="1" applyBorder="1" applyAlignment="1" applyProtection="1">
      <alignment horizontal="left" vertical="center"/>
      <protection locked="0"/>
    </xf>
    <xf numFmtId="0" fontId="0" fillId="3" borderId="4" xfId="0" applyFill="1" applyBorder="1" applyAlignment="1" applyProtection="1">
      <alignment vertical="center"/>
      <protection locked="0"/>
    </xf>
    <xf numFmtId="0" fontId="11" fillId="3" borderId="7" xfId="0" quotePrefix="1" applyFont="1" applyFill="1" applyBorder="1" applyAlignment="1">
      <alignment horizontal="left" vertical="center"/>
    </xf>
    <xf numFmtId="0" fontId="0" fillId="3" borderId="6" xfId="0" applyFill="1" applyBorder="1" applyAlignment="1">
      <alignment vertical="center"/>
    </xf>
    <xf numFmtId="0" fontId="5" fillId="2" borderId="0" xfId="0" applyFont="1" applyFill="1" applyAlignment="1">
      <alignment horizontal="left" vertical="center"/>
    </xf>
    <xf numFmtId="0" fontId="14" fillId="2" borderId="0" xfId="0" applyFont="1" applyFill="1" applyAlignment="1">
      <alignment horizontal="left" vertical="center"/>
    </xf>
    <xf numFmtId="0" fontId="12" fillId="0" borderId="0" xfId="0" applyFont="1" applyAlignment="1">
      <alignment vertical="center"/>
    </xf>
    <xf numFmtId="0" fontId="3" fillId="2" borderId="42" xfId="0" applyFont="1" applyFill="1" applyBorder="1" applyAlignment="1">
      <alignment horizontal="center" vertical="center"/>
    </xf>
    <xf numFmtId="0" fontId="15" fillId="2" borderId="0" xfId="0" applyFont="1" applyFill="1" applyBorder="1" applyAlignment="1">
      <alignment horizontal="left" vertical="center"/>
    </xf>
    <xf numFmtId="0" fontId="15" fillId="2" borderId="0" xfId="0" applyFont="1" applyFill="1" applyBorder="1" applyAlignment="1">
      <alignment vertical="center"/>
    </xf>
    <xf numFmtId="0" fontId="17" fillId="2" borderId="0" xfId="0" applyFont="1" applyFill="1" applyAlignment="1">
      <alignment horizontal="left" vertical="top"/>
    </xf>
    <xf numFmtId="0" fontId="17" fillId="2" borderId="0" xfId="0" applyFont="1" applyFill="1" applyAlignment="1">
      <alignment horizontal="left" vertical="center"/>
    </xf>
    <xf numFmtId="0" fontId="18" fillId="2" borderId="0" xfId="0" applyFont="1" applyFill="1" applyAlignment="1">
      <alignment horizontal="left" vertical="center"/>
    </xf>
    <xf numFmtId="0" fontId="15" fillId="2" borderId="0" xfId="0" applyFont="1" applyFill="1" applyAlignment="1">
      <alignment vertical="center"/>
    </xf>
    <xf numFmtId="0" fontId="0" fillId="3" borderId="43" xfId="0" applyFill="1" applyBorder="1" applyAlignment="1" applyProtection="1">
      <alignment horizontal="centerContinuous" vertical="center"/>
      <protection locked="0"/>
    </xf>
    <xf numFmtId="0" fontId="0" fillId="3" borderId="8" xfId="0" applyFill="1" applyBorder="1" applyAlignment="1">
      <alignment horizontal="centerContinuous" vertical="center"/>
    </xf>
    <xf numFmtId="0" fontId="0" fillId="3" borderId="44" xfId="0" applyFill="1" applyBorder="1" applyAlignment="1" applyProtection="1">
      <alignment horizontal="centerContinuous" vertical="center"/>
      <protection locked="0"/>
    </xf>
    <xf numFmtId="0" fontId="0" fillId="3" borderId="9" xfId="0" applyFill="1" applyBorder="1" applyAlignment="1">
      <alignment horizontal="centerContinuous" vertical="center"/>
    </xf>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3" fillId="2" borderId="48" xfId="0" quotePrefix="1" applyFont="1" applyFill="1" applyBorder="1" applyAlignment="1">
      <alignment horizontal="center" vertical="center"/>
    </xf>
    <xf numFmtId="167" fontId="6" fillId="3" borderId="49" xfId="0" applyNumberFormat="1" applyFont="1" applyFill="1" applyBorder="1" applyAlignment="1" applyProtection="1">
      <alignment vertical="center"/>
      <protection locked="0"/>
    </xf>
    <xf numFmtId="164" fontId="6" fillId="3" borderId="50" xfId="0" applyNumberFormat="1" applyFont="1" applyFill="1" applyBorder="1" applyAlignment="1" applyProtection="1">
      <alignment vertical="center"/>
      <protection locked="0"/>
    </xf>
    <xf numFmtId="167" fontId="2" fillId="2" borderId="51" xfId="0" applyNumberFormat="1" applyFont="1" applyFill="1" applyBorder="1" applyAlignment="1">
      <alignment vertical="center"/>
    </xf>
    <xf numFmtId="164" fontId="2" fillId="2" borderId="52" xfId="0" applyNumberFormat="1" applyFont="1" applyFill="1" applyBorder="1" applyAlignment="1">
      <alignment vertical="center"/>
    </xf>
    <xf numFmtId="167" fontId="6" fillId="3" borderId="51" xfId="0" applyNumberFormat="1" applyFont="1" applyFill="1" applyBorder="1" applyAlignment="1" applyProtection="1">
      <alignment vertical="center"/>
      <protection locked="0"/>
    </xf>
    <xf numFmtId="164" fontId="6" fillId="3" borderId="52" xfId="0" applyNumberFormat="1" applyFont="1" applyFill="1" applyBorder="1" applyAlignment="1" applyProtection="1">
      <alignment vertical="center"/>
      <protection locked="0"/>
    </xf>
    <xf numFmtId="167" fontId="1" fillId="2" borderId="53" xfId="0" applyNumberFormat="1" applyFont="1" applyFill="1" applyBorder="1" applyAlignment="1">
      <alignment horizontal="center" vertical="center"/>
    </xf>
    <xf numFmtId="167" fontId="2" fillId="2" borderId="54" xfId="0" applyNumberFormat="1" applyFont="1" applyFill="1" applyBorder="1" applyAlignment="1">
      <alignment horizontal="center" vertical="center"/>
    </xf>
    <xf numFmtId="9" fontId="2" fillId="2" borderId="55" xfId="0" applyNumberFormat="1" applyFont="1" applyFill="1" applyBorder="1" applyAlignment="1">
      <alignment horizontal="center" vertical="center"/>
    </xf>
    <xf numFmtId="0" fontId="1" fillId="2" borderId="56" xfId="0" applyFont="1" applyFill="1" applyBorder="1" applyAlignment="1">
      <alignment horizontal="center" vertical="center"/>
    </xf>
    <xf numFmtId="0" fontId="2" fillId="2" borderId="0" xfId="0" applyFont="1" applyFill="1" applyAlignment="1">
      <alignment horizontal="left" vertical="center"/>
    </xf>
    <xf numFmtId="0" fontId="3" fillId="2" borderId="1"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xf numFmtId="0" fontId="12" fillId="2" borderId="0" xfId="0" applyFont="1" applyFill="1" applyAlignment="1">
      <alignment vertical="center"/>
    </xf>
    <xf numFmtId="0" fontId="17" fillId="2" borderId="2" xfId="0" applyFont="1" applyFill="1" applyBorder="1" applyAlignment="1">
      <alignment horizontal="left" vertical="center"/>
    </xf>
    <xf numFmtId="0" fontId="2" fillId="2" borderId="57" xfId="0" applyFont="1" applyFill="1" applyBorder="1" applyAlignment="1">
      <alignment horizontal="left" vertical="center"/>
    </xf>
    <xf numFmtId="0" fontId="0" fillId="2" borderId="57" xfId="0" applyFill="1" applyBorder="1" applyAlignment="1">
      <alignment vertical="center"/>
    </xf>
    <xf numFmtId="0" fontId="0" fillId="2" borderId="4" xfId="0" applyFill="1" applyBorder="1" applyAlignment="1">
      <alignment vertical="center"/>
    </xf>
    <xf numFmtId="0" fontId="17" fillId="2" borderId="47" xfId="0" applyFont="1" applyFill="1" applyBorder="1" applyAlignment="1">
      <alignment horizontal="left" vertical="center"/>
    </xf>
    <xf numFmtId="0" fontId="2" fillId="2" borderId="58" xfId="0" applyFont="1" applyFill="1" applyBorder="1" applyAlignment="1">
      <alignment horizontal="left" vertical="center"/>
    </xf>
    <xf numFmtId="0" fontId="0" fillId="2" borderId="58" xfId="0" applyFill="1" applyBorder="1" applyAlignment="1">
      <alignment vertical="center"/>
    </xf>
    <xf numFmtId="0" fontId="0" fillId="2" borderId="46" xfId="0" applyFill="1" applyBorder="1" applyAlignment="1">
      <alignment vertical="center"/>
    </xf>
    <xf numFmtId="0" fontId="0" fillId="2" borderId="2" xfId="0" applyFill="1" applyBorder="1"/>
    <xf numFmtId="0" fontId="2" fillId="2" borderId="57" xfId="0" applyFont="1" applyFill="1" applyBorder="1" applyAlignment="1">
      <alignment horizontal="center"/>
    </xf>
    <xf numFmtId="0" fontId="0" fillId="2" borderId="4" xfId="0" applyFill="1" applyBorder="1" applyAlignment="1">
      <alignment horizontal="center"/>
    </xf>
    <xf numFmtId="0" fontId="1" fillId="2" borderId="7" xfId="0" applyFont="1" applyFill="1" applyBorder="1" applyAlignment="1">
      <alignment horizontal="right" vertical="center"/>
    </xf>
    <xf numFmtId="167" fontId="0" fillId="2" borderId="6"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right" vertical="center"/>
    </xf>
    <xf numFmtId="0" fontId="0" fillId="2" borderId="47" xfId="0" applyFill="1" applyBorder="1" applyAlignment="1">
      <alignment vertical="center"/>
    </xf>
    <xf numFmtId="0" fontId="0" fillId="2" borderId="2" xfId="0" applyFill="1" applyBorder="1" applyAlignment="1">
      <alignment horizontal="center"/>
    </xf>
    <xf numFmtId="0" fontId="0" fillId="2" borderId="57" xfId="0" applyFill="1" applyBorder="1" applyAlignment="1">
      <alignment horizontal="center"/>
    </xf>
    <xf numFmtId="0" fontId="0" fillId="2" borderId="57" xfId="0" applyFill="1" applyBorder="1" applyAlignment="1"/>
    <xf numFmtId="0" fontId="0" fillId="2" borderId="4" xfId="0" applyFill="1" applyBorder="1" applyAlignment="1"/>
    <xf numFmtId="0" fontId="9" fillId="2" borderId="18" xfId="0" applyFont="1" applyFill="1" applyBorder="1" applyAlignment="1">
      <alignment horizontal="left" vertical="center"/>
    </xf>
    <xf numFmtId="0" fontId="9" fillId="2" borderId="24" xfId="0" applyFont="1" applyFill="1" applyBorder="1" applyAlignment="1">
      <alignment horizontal="left" vertical="center"/>
    </xf>
    <xf numFmtId="0" fontId="21" fillId="2" borderId="59" xfId="0" applyFont="1" applyFill="1" applyBorder="1" applyAlignment="1">
      <alignment vertical="center"/>
    </xf>
    <xf numFmtId="0" fontId="21" fillId="2" borderId="60" xfId="0" applyFont="1" applyFill="1" applyBorder="1" applyAlignment="1">
      <alignmen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12" fillId="3" borderId="60" xfId="0" applyFont="1" applyFill="1" applyBorder="1" applyAlignment="1">
      <alignment horizontal="centerContinuous" vertical="center"/>
    </xf>
    <xf numFmtId="168" fontId="12" fillId="3" borderId="46" xfId="0" applyNumberFormat="1" applyFont="1" applyFill="1" applyBorder="1" applyAlignment="1">
      <alignment horizontal="centerContinuous" vertical="center"/>
    </xf>
    <xf numFmtId="0" fontId="2" fillId="2" borderId="47"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61" xfId="0" applyFill="1" applyBorder="1" applyAlignment="1">
      <alignment horizontal="center" vertical="center"/>
    </xf>
    <xf numFmtId="0" fontId="4" fillId="2" borderId="62" xfId="0" applyFont="1" applyFill="1" applyBorder="1" applyAlignment="1">
      <alignment horizontal="center" vertical="center"/>
    </xf>
    <xf numFmtId="0" fontId="23" fillId="2" borderId="63" xfId="0" applyFont="1" applyFill="1" applyBorder="1" applyAlignment="1">
      <alignment vertical="center"/>
    </xf>
    <xf numFmtId="0" fontId="17" fillId="2" borderId="64" xfId="0" applyFont="1" applyFill="1" applyBorder="1" applyAlignment="1">
      <alignment vertical="center"/>
    </xf>
    <xf numFmtId="0" fontId="17" fillId="2" borderId="64" xfId="0" applyFont="1" applyFill="1" applyBorder="1" applyAlignment="1">
      <alignment horizontal="left" vertical="center"/>
    </xf>
    <xf numFmtId="0" fontId="15" fillId="2" borderId="65" xfId="0" applyFont="1" applyFill="1" applyBorder="1" applyAlignment="1">
      <alignment horizontal="left" vertical="center"/>
    </xf>
    <xf numFmtId="0" fontId="15" fillId="2" borderId="66" xfId="0" applyFont="1" applyFill="1" applyBorder="1" applyAlignment="1">
      <alignment vertical="center"/>
    </xf>
    <xf numFmtId="0" fontId="15" fillId="2" borderId="66" xfId="0" applyFont="1" applyFill="1" applyBorder="1" applyAlignment="1">
      <alignment horizontal="left" vertical="center"/>
    </xf>
    <xf numFmtId="0" fontId="15" fillId="2" borderId="67" xfId="0" applyFont="1" applyFill="1" applyBorder="1" applyAlignment="1">
      <alignment horizontal="left" vertical="center"/>
    </xf>
    <xf numFmtId="0" fontId="1" fillId="0" borderId="56" xfId="0" applyFont="1" applyBorder="1" applyAlignment="1">
      <alignment horizontal="center"/>
    </xf>
    <xf numFmtId="0" fontId="24" fillId="2" borderId="12" xfId="0" applyFont="1" applyFill="1" applyBorder="1" applyAlignment="1">
      <alignment horizontal="right" vertical="center"/>
    </xf>
    <xf numFmtId="0" fontId="2" fillId="2" borderId="43" xfId="0" applyFont="1" applyFill="1" applyBorder="1" applyAlignment="1">
      <alignment horizontal="left" vertical="center"/>
    </xf>
    <xf numFmtId="0" fontId="2" fillId="2" borderId="0" xfId="0" applyFont="1" applyFill="1" applyBorder="1" applyAlignment="1">
      <alignment vertical="center"/>
    </xf>
    <xf numFmtId="0" fontId="2" fillId="2" borderId="44" xfId="0" applyFont="1" applyFill="1" applyBorder="1" applyAlignment="1">
      <alignment vertical="center"/>
    </xf>
    <xf numFmtId="0" fontId="16" fillId="2" borderId="68" xfId="0" applyFont="1" applyFill="1" applyBorder="1" applyAlignment="1">
      <alignment vertical="center"/>
    </xf>
    <xf numFmtId="167" fontId="0" fillId="0" borderId="0" xfId="0" applyNumberFormat="1" applyAlignment="1">
      <alignment vertical="center"/>
    </xf>
    <xf numFmtId="0" fontId="25" fillId="0" borderId="0" xfId="0" applyFont="1"/>
    <xf numFmtId="0" fontId="1" fillId="0" borderId="63" xfId="0" applyFont="1" applyBorder="1"/>
    <xf numFmtId="0" fontId="1" fillId="0" borderId="64" xfId="0" applyFont="1" applyBorder="1"/>
    <xf numFmtId="0" fontId="0" fillId="4" borderId="18" xfId="0" applyFill="1" applyBorder="1" applyAlignment="1" applyProtection="1">
      <protection locked="0"/>
    </xf>
    <xf numFmtId="0" fontId="0" fillId="4" borderId="44" xfId="0" applyFill="1" applyBorder="1" applyAlignment="1" applyProtection="1">
      <protection locked="0"/>
    </xf>
    <xf numFmtId="0" fontId="0" fillId="4" borderId="69" xfId="0" applyFill="1" applyBorder="1" applyAlignment="1" applyProtection="1">
      <protection locked="0"/>
    </xf>
    <xf numFmtId="0" fontId="1" fillId="0" borderId="70" xfId="0" applyFont="1" applyBorder="1"/>
    <xf numFmtId="0" fontId="1" fillId="0" borderId="0" xfId="0" applyFont="1" applyBorder="1"/>
    <xf numFmtId="0" fontId="1" fillId="0" borderId="68" xfId="0" applyFont="1" applyBorder="1"/>
    <xf numFmtId="0" fontId="1" fillId="0" borderId="66" xfId="0" applyFont="1" applyBorder="1"/>
    <xf numFmtId="0" fontId="0" fillId="0" borderId="18" xfId="0" applyBorder="1"/>
    <xf numFmtId="0" fontId="0" fillId="0" borderId="44" xfId="0" applyBorder="1"/>
    <xf numFmtId="0" fontId="0" fillId="4" borderId="15" xfId="0" applyFill="1" applyBorder="1"/>
    <xf numFmtId="0" fontId="1" fillId="0" borderId="0" xfId="0" applyFont="1"/>
    <xf numFmtId="166" fontId="1" fillId="0" borderId="71" xfId="0" applyNumberFormat="1" applyFont="1" applyFill="1" applyBorder="1" applyAlignment="1">
      <alignment vertical="center"/>
    </xf>
    <xf numFmtId="2" fontId="23" fillId="2" borderId="0" xfId="0" applyNumberFormat="1" applyFont="1" applyFill="1" applyAlignment="1" applyProtection="1">
      <alignment horizontal="center"/>
      <protection locked="0"/>
    </xf>
    <xf numFmtId="0" fontId="26" fillId="0" borderId="0" xfId="0" applyFont="1"/>
    <xf numFmtId="0" fontId="1" fillId="0" borderId="0" xfId="0" applyFont="1" applyAlignment="1">
      <alignment horizontal="right"/>
    </xf>
    <xf numFmtId="0" fontId="0" fillId="2" borderId="72" xfId="0" applyFill="1" applyBorder="1" applyAlignment="1">
      <alignment horizontal="center"/>
    </xf>
    <xf numFmtId="0" fontId="2" fillId="2" borderId="0" xfId="0" applyFont="1" applyFill="1" applyBorder="1" applyAlignment="1">
      <alignment horizontal="left" vertical="center"/>
    </xf>
    <xf numFmtId="0" fontId="21" fillId="2" borderId="0" xfId="0" applyFont="1" applyFill="1" applyBorder="1" applyAlignment="1">
      <alignment vertical="center"/>
    </xf>
    <xf numFmtId="0" fontId="3" fillId="2" borderId="73" xfId="0" applyFont="1" applyFill="1" applyBorder="1" applyAlignment="1">
      <alignment horizontal="left" vertical="center"/>
    </xf>
    <xf numFmtId="0" fontId="3" fillId="2" borderId="74" xfId="0" applyFont="1" applyFill="1" applyBorder="1" applyAlignment="1">
      <alignment horizontal="left" vertical="center"/>
    </xf>
    <xf numFmtId="0" fontId="9" fillId="2" borderId="75" xfId="0" applyFont="1" applyFill="1" applyBorder="1" applyAlignment="1">
      <alignment horizontal="left" vertical="center"/>
    </xf>
    <xf numFmtId="0" fontId="9" fillId="4" borderId="56" xfId="0" applyFont="1" applyFill="1" applyBorder="1" applyAlignment="1">
      <alignment horizontal="center"/>
    </xf>
    <xf numFmtId="0" fontId="3" fillId="2" borderId="1" xfId="0" applyFont="1" applyFill="1" applyBorder="1" applyAlignment="1">
      <alignment horizontal="left" vertical="center"/>
    </xf>
    <xf numFmtId="0" fontId="27" fillId="2" borderId="62" xfId="0" applyFont="1" applyFill="1" applyBorder="1" applyAlignment="1">
      <alignment horizontal="center" vertical="center"/>
    </xf>
    <xf numFmtId="0" fontId="11" fillId="3" borderId="1" xfId="0" applyFont="1" applyFill="1" applyBorder="1" applyAlignment="1" applyProtection="1">
      <alignment horizontal="left" vertical="center"/>
      <protection locked="0"/>
    </xf>
    <xf numFmtId="0" fontId="0" fillId="3" borderId="12" xfId="0" applyFill="1" applyBorder="1" applyAlignment="1" applyProtection="1">
      <alignment vertical="center"/>
      <protection locked="0"/>
    </xf>
    <xf numFmtId="0" fontId="11" fillId="3" borderId="0" xfId="0" quotePrefix="1" applyFont="1" applyFill="1" applyBorder="1" applyAlignment="1">
      <alignment horizontal="left" vertical="center"/>
    </xf>
    <xf numFmtId="0" fontId="11" fillId="3" borderId="11" xfId="0" applyFont="1" applyFill="1" applyBorder="1" applyAlignment="1" applyProtection="1">
      <alignment horizontal="left" vertical="center"/>
      <protection locked="0"/>
    </xf>
    <xf numFmtId="0" fontId="11" fillId="3" borderId="57" xfId="0" applyFont="1" applyFill="1" applyBorder="1" applyAlignment="1" applyProtection="1">
      <alignment horizontal="left" vertical="center"/>
      <protection locked="0"/>
    </xf>
    <xf numFmtId="0" fontId="12" fillId="0" borderId="54" xfId="0" applyFont="1" applyFill="1" applyBorder="1" applyAlignment="1">
      <alignment horizontal="center" vertical="center"/>
    </xf>
    <xf numFmtId="0" fontId="28" fillId="2" borderId="0" xfId="0" applyFont="1" applyFill="1" applyAlignment="1">
      <alignment horizontal="left" vertical="center"/>
    </xf>
    <xf numFmtId="167" fontId="7" fillId="4" borderId="53" xfId="0" applyNumberFormat="1"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4" borderId="56" xfId="0" applyFont="1" applyFill="1" applyBorder="1" applyAlignment="1">
      <alignment horizontal="center" vertical="center"/>
    </xf>
    <xf numFmtId="165" fontId="6" fillId="3" borderId="76" xfId="0" applyNumberFormat="1" applyFont="1" applyFill="1" applyBorder="1" applyAlignment="1" applyProtection="1">
      <alignment vertical="center"/>
      <protection locked="0"/>
    </xf>
    <xf numFmtId="165" fontId="6" fillId="3" borderId="48" xfId="0" applyNumberFormat="1" applyFont="1" applyFill="1" applyBorder="1" applyAlignment="1" applyProtection="1">
      <alignment vertical="center"/>
      <protection locked="0"/>
    </xf>
    <xf numFmtId="165" fontId="2" fillId="2" borderId="48" xfId="0" applyNumberFormat="1" applyFont="1" applyFill="1" applyBorder="1" applyAlignment="1">
      <alignment vertical="center"/>
    </xf>
    <xf numFmtId="0" fontId="2" fillId="0" borderId="0" xfId="0" applyFont="1" applyFill="1" applyBorder="1" applyAlignment="1">
      <alignment horizontal="right" vertical="center"/>
    </xf>
    <xf numFmtId="165" fontId="2" fillId="2" borderId="11" xfId="0" applyNumberFormat="1" applyFont="1" applyFill="1" applyBorder="1" applyAlignment="1">
      <alignment horizontal="right" vertical="center"/>
    </xf>
    <xf numFmtId="0" fontId="0" fillId="4" borderId="18" xfId="0" quotePrefix="1" applyFill="1" applyBorder="1" applyAlignment="1" applyProtection="1">
      <protection locked="0"/>
    </xf>
    <xf numFmtId="0" fontId="11" fillId="3" borderId="23" xfId="0" applyFont="1" applyFill="1" applyBorder="1" applyAlignment="1" applyProtection="1">
      <alignment horizontal="left" vertical="center"/>
      <protection locked="0"/>
    </xf>
    <xf numFmtId="0" fontId="29" fillId="4" borderId="18" xfId="3" applyFill="1" applyBorder="1" applyAlignment="1" applyProtection="1">
      <protection locked="0"/>
    </xf>
    <xf numFmtId="0" fontId="0" fillId="2" borderId="4" xfId="0" applyFont="1" applyFill="1" applyBorder="1" applyAlignment="1">
      <alignment horizontal="center" vertical="center"/>
    </xf>
    <xf numFmtId="0" fontId="0" fillId="2" borderId="0" xfId="0" applyFont="1" applyFill="1" applyBorder="1" applyAlignment="1">
      <alignment vertical="center"/>
    </xf>
    <xf numFmtId="0" fontId="11" fillId="7" borderId="2" xfId="0" applyFont="1" applyFill="1" applyBorder="1" applyAlignment="1" applyProtection="1">
      <alignment horizontal="left" vertical="center"/>
      <protection locked="0"/>
    </xf>
    <xf numFmtId="0" fontId="0" fillId="0" borderId="0" xfId="0" applyFill="1" applyBorder="1"/>
    <xf numFmtId="0" fontId="0" fillId="3" borderId="43" xfId="0" applyFill="1" applyBorder="1" applyAlignment="1" applyProtection="1">
      <alignment horizontal="left" vertical="center"/>
      <protection locked="0"/>
    </xf>
    <xf numFmtId="0" fontId="20" fillId="3" borderId="22" xfId="0" applyFont="1" applyFill="1" applyBorder="1" applyAlignment="1" applyProtection="1">
      <alignment horizontal="left" vertical="center"/>
      <protection locked="0"/>
    </xf>
    <xf numFmtId="166" fontId="0" fillId="0" borderId="15" xfId="0" applyNumberFormat="1" applyBorder="1" applyAlignment="1">
      <alignment horizontal="center"/>
    </xf>
    <xf numFmtId="0" fontId="0" fillId="8" borderId="0" xfId="0" applyFill="1" applyAlignment="1">
      <alignment vertical="center"/>
    </xf>
    <xf numFmtId="0" fontId="0" fillId="8" borderId="0" xfId="0" applyFill="1"/>
    <xf numFmtId="0" fontId="0" fillId="0" borderId="0" xfId="0" applyFill="1"/>
    <xf numFmtId="0" fontId="1" fillId="0" borderId="15" xfId="0" applyFont="1" applyBorder="1" applyAlignment="1">
      <alignment horizontal="left"/>
    </xf>
    <xf numFmtId="0" fontId="1" fillId="0" borderId="15" xfId="0" applyFont="1" applyBorder="1" applyAlignment="1"/>
    <xf numFmtId="166" fontId="8" fillId="3" borderId="70" xfId="0" applyNumberFormat="1" applyFont="1" applyFill="1" applyBorder="1" applyAlignment="1">
      <alignment horizontal="center"/>
    </xf>
    <xf numFmtId="0" fontId="9" fillId="2" borderId="15" xfId="0" applyFont="1" applyFill="1" applyBorder="1" applyAlignment="1">
      <alignment horizontal="center" vertical="center"/>
    </xf>
    <xf numFmtId="0" fontId="9" fillId="2" borderId="18" xfId="0" applyFont="1" applyFill="1" applyBorder="1" applyAlignment="1">
      <alignment horizontal="center" vertical="center"/>
    </xf>
    <xf numFmtId="0" fontId="0" fillId="8" borderId="0" xfId="0" applyFill="1" applyBorder="1" applyAlignment="1">
      <alignment vertical="center"/>
    </xf>
    <xf numFmtId="0" fontId="15" fillId="8" borderId="0" xfId="0" applyFont="1" applyFill="1" applyBorder="1" applyAlignment="1">
      <alignment horizontal="left" vertical="center"/>
    </xf>
    <xf numFmtId="0" fontId="0" fillId="8" borderId="0" xfId="0" applyFill="1" applyAlignment="1">
      <alignment horizontal="right" vertical="center"/>
    </xf>
    <xf numFmtId="0" fontId="1" fillId="2" borderId="2" xfId="0" applyFont="1" applyFill="1" applyBorder="1" applyAlignment="1">
      <alignment vertical="center" wrapText="1"/>
    </xf>
    <xf numFmtId="0" fontId="3" fillId="2" borderId="47" xfId="0" applyFont="1" applyFill="1" applyBorder="1" applyAlignment="1">
      <alignment horizontal="center" vertical="center"/>
    </xf>
    <xf numFmtId="0" fontId="12" fillId="0" borderId="77" xfId="0" applyFont="1" applyFill="1" applyBorder="1" applyAlignment="1">
      <alignment horizontal="center" vertical="center"/>
    </xf>
    <xf numFmtId="0" fontId="1" fillId="0" borderId="1" xfId="0" applyFont="1" applyBorder="1" applyAlignment="1">
      <alignment vertical="center"/>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9" fillId="2" borderId="4" xfId="0" applyFont="1" applyFill="1" applyBorder="1" applyAlignment="1">
      <alignment horizontal="left" vertical="center"/>
    </xf>
    <xf numFmtId="0" fontId="0" fillId="8" borderId="0" xfId="0" applyFill="1" applyAlignment="1">
      <alignment horizontal="left"/>
    </xf>
    <xf numFmtId="0" fontId="0" fillId="8" borderId="0" xfId="0" applyFill="1" applyAlignment="1">
      <alignment vertical="center" wrapText="1"/>
    </xf>
    <xf numFmtId="0" fontId="15" fillId="8" borderId="0" xfId="0" applyFont="1" applyFill="1" applyAlignment="1">
      <alignment vertical="center"/>
    </xf>
    <xf numFmtId="0" fontId="0" fillId="7" borderId="78" xfId="0" applyFill="1" applyBorder="1"/>
    <xf numFmtId="0" fontId="0" fillId="7" borderId="79" xfId="0" applyFill="1" applyBorder="1"/>
    <xf numFmtId="0" fontId="0" fillId="7" borderId="80" xfId="0" applyFill="1" applyBorder="1"/>
    <xf numFmtId="0" fontId="0" fillId="7" borderId="81" xfId="0" applyFill="1" applyBorder="1"/>
    <xf numFmtId="0" fontId="1" fillId="0" borderId="82" xfId="0" applyFont="1" applyBorder="1"/>
    <xf numFmtId="0" fontId="1" fillId="0" borderId="83" xfId="0" applyFont="1" applyBorder="1"/>
    <xf numFmtId="0" fontId="0" fillId="7" borderId="84" xfId="0" applyFill="1" applyBorder="1"/>
    <xf numFmtId="0" fontId="0" fillId="7" borderId="85" xfId="0" applyFill="1" applyBorder="1"/>
    <xf numFmtId="0" fontId="0" fillId="0" borderId="2" xfId="0" applyBorder="1"/>
    <xf numFmtId="0" fontId="1" fillId="2" borderId="26" xfId="0" applyFont="1" applyFill="1" applyBorder="1" applyAlignment="1">
      <alignment horizontal="center"/>
    </xf>
    <xf numFmtId="0" fontId="1" fillId="2" borderId="23" xfId="0" applyFont="1" applyFill="1" applyBorder="1" applyAlignment="1">
      <alignment horizontal="center"/>
    </xf>
    <xf numFmtId="0" fontId="1" fillId="0" borderId="86" xfId="0" applyFont="1" applyBorder="1"/>
    <xf numFmtId="0" fontId="0" fillId="2" borderId="87" xfId="0" applyFill="1" applyBorder="1" applyAlignment="1">
      <alignment horizontal="center"/>
    </xf>
    <xf numFmtId="0" fontId="0" fillId="7" borderId="88" xfId="0" applyFill="1" applyBorder="1"/>
    <xf numFmtId="0" fontId="0" fillId="7" borderId="89" xfId="0" applyFill="1" applyBorder="1"/>
    <xf numFmtId="0" fontId="0" fillId="2" borderId="90" xfId="0" applyFill="1" applyBorder="1" applyAlignment="1">
      <alignment horizontal="center"/>
    </xf>
    <xf numFmtId="0" fontId="0" fillId="7" borderId="91" xfId="0" applyFill="1" applyBorder="1"/>
    <xf numFmtId="0" fontId="0" fillId="2" borderId="24" xfId="0" applyFill="1" applyBorder="1" applyAlignment="1">
      <alignment horizontal="center"/>
    </xf>
    <xf numFmtId="0" fontId="0" fillId="7" borderId="92" xfId="0" applyFill="1" applyBorder="1"/>
    <xf numFmtId="0" fontId="0" fillId="7" borderId="93" xfId="0" applyFill="1" applyBorder="1"/>
    <xf numFmtId="0" fontId="0" fillId="7" borderId="94" xfId="0" applyFill="1" applyBorder="1"/>
    <xf numFmtId="0" fontId="16" fillId="2" borderId="0" xfId="0" applyFont="1" applyFill="1" applyAlignment="1">
      <alignment horizontal="left" vertical="center"/>
    </xf>
    <xf numFmtId="0" fontId="10" fillId="2" borderId="0" xfId="0" applyFont="1" applyFill="1" applyBorder="1" applyAlignment="1">
      <alignment horizontal="left" vertical="center"/>
    </xf>
    <xf numFmtId="0" fontId="0" fillId="2" borderId="0" xfId="0" applyFill="1" applyAlignment="1">
      <alignment horizontal="left" vertical="center" wrapText="1"/>
    </xf>
    <xf numFmtId="0" fontId="11" fillId="0" borderId="15" xfId="0" applyFont="1" applyFill="1" applyBorder="1" applyAlignment="1" applyProtection="1">
      <alignment vertical="center"/>
      <protection locked="0"/>
    </xf>
    <xf numFmtId="0" fontId="20" fillId="0" borderId="15" xfId="0" applyFont="1" applyFill="1" applyBorder="1" applyAlignment="1" applyProtection="1">
      <alignment horizontal="left" vertical="center"/>
      <protection locked="0"/>
    </xf>
    <xf numFmtId="168" fontId="11" fillId="3" borderId="15" xfId="0" quotePrefix="1" applyNumberFormat="1" applyFont="1" applyFill="1" applyBorder="1" applyAlignment="1">
      <alignment horizontal="left" vertical="center"/>
    </xf>
    <xf numFmtId="0" fontId="15" fillId="0" borderId="0" xfId="0" applyFont="1" applyAlignment="1">
      <alignment horizontal="left" vertical="center"/>
    </xf>
    <xf numFmtId="168" fontId="30" fillId="2" borderId="0" xfId="0" quotePrefix="1" applyNumberFormat="1" applyFont="1" applyFill="1" applyBorder="1" applyAlignment="1">
      <alignment horizontal="left" vertical="center"/>
    </xf>
    <xf numFmtId="168" fontId="11" fillId="2" borderId="0" xfId="0" applyNumberFormat="1" applyFont="1" applyFill="1" applyBorder="1" applyAlignment="1">
      <alignment horizontal="left" vertical="center"/>
    </xf>
    <xf numFmtId="0" fontId="1" fillId="0" borderId="0" xfId="0" applyFont="1" applyAlignment="1">
      <alignment vertical="center"/>
    </xf>
    <xf numFmtId="0" fontId="2" fillId="2" borderId="95" xfId="0" applyFont="1" applyFill="1" applyBorder="1" applyAlignment="1">
      <alignment horizontal="center" vertical="top" wrapText="1"/>
    </xf>
    <xf numFmtId="0" fontId="1" fillId="2" borderId="95" xfId="0" applyFont="1" applyFill="1" applyBorder="1" applyAlignment="1">
      <alignment horizontal="center" vertical="top" wrapText="1"/>
    </xf>
    <xf numFmtId="0" fontId="1" fillId="2" borderId="96" xfId="0" applyFont="1" applyFill="1" applyBorder="1" applyAlignment="1">
      <alignment horizontal="center" vertical="top" wrapText="1"/>
    </xf>
    <xf numFmtId="0" fontId="1" fillId="2" borderId="97" xfId="0" applyFont="1" applyFill="1" applyBorder="1" applyAlignment="1">
      <alignment horizontal="center" vertical="top" wrapText="1"/>
    </xf>
    <xf numFmtId="0" fontId="1" fillId="2" borderId="98" xfId="0" applyFont="1" applyFill="1" applyBorder="1" applyAlignment="1">
      <alignment horizontal="center" vertical="top" wrapText="1"/>
    </xf>
    <xf numFmtId="0" fontId="1" fillId="5" borderId="95" xfId="0" applyFont="1" applyFill="1" applyBorder="1" applyAlignment="1">
      <alignment horizontal="center" vertical="top" wrapText="1"/>
    </xf>
    <xf numFmtId="0" fontId="1" fillId="2" borderId="99"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6" borderId="4" xfId="0" applyFont="1" applyFill="1" applyBorder="1" applyAlignment="1">
      <alignment horizontal="center" vertical="top" wrapText="1"/>
    </xf>
    <xf numFmtId="0" fontId="2" fillId="2" borderId="100" xfId="0" applyFont="1" applyFill="1" applyBorder="1" applyAlignment="1">
      <alignment horizontal="center" vertical="top" wrapText="1"/>
    </xf>
    <xf numFmtId="0" fontId="1" fillId="2" borderId="100" xfId="0" applyFont="1" applyFill="1" applyBorder="1" applyAlignment="1">
      <alignment horizontal="center" vertical="top" wrapText="1"/>
    </xf>
    <xf numFmtId="0" fontId="1" fillId="2" borderId="101" xfId="0" applyFont="1" applyFill="1" applyBorder="1" applyAlignment="1">
      <alignment horizontal="center" vertical="top" wrapText="1"/>
    </xf>
    <xf numFmtId="0" fontId="1" fillId="2" borderId="102" xfId="0" applyFont="1" applyFill="1" applyBorder="1" applyAlignment="1">
      <alignment horizontal="center" vertical="top" wrapText="1"/>
    </xf>
    <xf numFmtId="0" fontId="1" fillId="2" borderId="103" xfId="0" applyFont="1" applyFill="1" applyBorder="1" applyAlignment="1">
      <alignment horizontal="center" vertical="top" wrapText="1"/>
    </xf>
    <xf numFmtId="0" fontId="1" fillId="5" borderId="10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6" borderId="6" xfId="0" applyFont="1" applyFill="1" applyBorder="1" applyAlignment="1">
      <alignment horizontal="center" vertical="top" wrapText="1"/>
    </xf>
    <xf numFmtId="0" fontId="3" fillId="2" borderId="100"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5" borderId="42" xfId="0" applyFont="1" applyFill="1" applyBorder="1" applyAlignment="1">
      <alignment horizontal="center" vertical="center"/>
    </xf>
    <xf numFmtId="0" fontId="2" fillId="2" borderId="105" xfId="0" applyFont="1" applyFill="1" applyBorder="1" applyAlignment="1">
      <alignment horizontal="center" vertical="center"/>
    </xf>
    <xf numFmtId="0" fontId="2" fillId="2" borderId="46" xfId="0" applyFont="1" applyFill="1" applyBorder="1" applyAlignment="1">
      <alignment horizontal="center" vertical="center"/>
    </xf>
    <xf numFmtId="0" fontId="2" fillId="6" borderId="6" xfId="0" applyFont="1" applyFill="1" applyBorder="1" applyAlignment="1">
      <alignment horizontal="center" vertical="center"/>
    </xf>
    <xf numFmtId="0" fontId="1" fillId="2" borderId="6" xfId="0" applyFont="1" applyFill="1" applyBorder="1" applyAlignment="1">
      <alignment horizontal="center" vertical="center"/>
    </xf>
    <xf numFmtId="167" fontId="32" fillId="3" borderId="54" xfId="0" applyNumberFormat="1" applyFont="1" applyFill="1" applyBorder="1" applyAlignment="1" applyProtection="1">
      <alignment horizontal="center" vertical="center"/>
      <protection locked="0"/>
    </xf>
    <xf numFmtId="167" fontId="32" fillId="3" borderId="106" xfId="0" applyNumberFormat="1" applyFont="1" applyFill="1" applyBorder="1" applyAlignment="1" applyProtection="1">
      <alignment horizontal="center" vertical="center"/>
      <protection locked="0"/>
    </xf>
    <xf numFmtId="167" fontId="32" fillId="3" borderId="107" xfId="0" applyNumberFormat="1" applyFont="1" applyFill="1" applyBorder="1" applyAlignment="1" applyProtection="1">
      <alignment horizontal="center" vertical="center"/>
      <protection locked="0"/>
    </xf>
    <xf numFmtId="167" fontId="32" fillId="3" borderId="108" xfId="0" applyNumberFormat="1" applyFont="1" applyFill="1" applyBorder="1" applyAlignment="1" applyProtection="1">
      <alignment horizontal="center" vertical="center"/>
      <protection locked="0"/>
    </xf>
    <xf numFmtId="167" fontId="32" fillId="3" borderId="109" xfId="0" applyNumberFormat="1" applyFont="1" applyFill="1" applyBorder="1" applyAlignment="1" applyProtection="1">
      <alignment horizontal="center" vertical="center"/>
      <protection locked="0"/>
    </xf>
    <xf numFmtId="167" fontId="32" fillId="5" borderId="108" xfId="0" applyNumberFormat="1" applyFont="1" applyFill="1" applyBorder="1" applyAlignment="1" applyProtection="1">
      <alignment horizontal="center" vertical="center"/>
      <protection locked="0"/>
    </xf>
    <xf numFmtId="167" fontId="32" fillId="0" borderId="110" xfId="0" applyNumberFormat="1" applyFont="1" applyFill="1" applyBorder="1" applyAlignment="1" applyProtection="1">
      <alignment horizontal="center" vertical="center"/>
      <protection locked="0"/>
    </xf>
    <xf numFmtId="167" fontId="32" fillId="0" borderId="111" xfId="0" applyNumberFormat="1" applyFont="1" applyFill="1" applyBorder="1" applyAlignment="1" applyProtection="1">
      <alignment horizontal="center" vertical="center"/>
      <protection locked="0"/>
    </xf>
    <xf numFmtId="167" fontId="3" fillId="6" borderId="53" xfId="1" applyNumberFormat="1" applyFont="1" applyFill="1" applyBorder="1" applyAlignment="1">
      <alignment horizontal="center" vertical="center"/>
    </xf>
    <xf numFmtId="167" fontId="3" fillId="4" borderId="53" xfId="1" applyNumberFormat="1" applyFont="1" applyFill="1" applyBorder="1" applyAlignment="1">
      <alignment horizontal="center" vertical="center"/>
    </xf>
    <xf numFmtId="167" fontId="32" fillId="3" borderId="112" xfId="0" applyNumberFormat="1" applyFont="1" applyFill="1" applyBorder="1" applyAlignment="1" applyProtection="1">
      <alignment horizontal="center" vertical="center"/>
      <protection locked="0"/>
    </xf>
    <xf numFmtId="167" fontId="32" fillId="3" borderId="113" xfId="0" applyNumberFormat="1" applyFont="1" applyFill="1" applyBorder="1" applyAlignment="1" applyProtection="1">
      <alignment horizontal="center" vertical="center"/>
      <protection locked="0"/>
    </xf>
    <xf numFmtId="167" fontId="32" fillId="3" borderId="36" xfId="0" applyNumberFormat="1" applyFont="1" applyFill="1" applyBorder="1" applyAlignment="1" applyProtection="1">
      <alignment horizontal="center" vertical="center"/>
      <protection locked="0"/>
    </xf>
    <xf numFmtId="167" fontId="3" fillId="6" borderId="54" xfId="1" applyNumberFormat="1" applyFont="1" applyFill="1" applyBorder="1" applyAlignment="1">
      <alignment horizontal="center" vertical="center"/>
    </xf>
    <xf numFmtId="167" fontId="3" fillId="4" borderId="54" xfId="1" applyNumberFormat="1" applyFont="1" applyFill="1" applyBorder="1" applyAlignment="1">
      <alignment horizontal="center" vertical="center"/>
    </xf>
    <xf numFmtId="0" fontId="12" fillId="0" borderId="95" xfId="0" applyFont="1" applyFill="1" applyBorder="1" applyAlignment="1">
      <alignment horizontal="center" vertical="center"/>
    </xf>
    <xf numFmtId="167" fontId="3" fillId="0" borderId="95" xfId="0" applyNumberFormat="1" applyFont="1" applyFill="1" applyBorder="1" applyAlignment="1">
      <alignment horizontal="center" vertical="center"/>
    </xf>
    <xf numFmtId="167" fontId="3" fillId="0" borderId="96" xfId="0" applyNumberFormat="1" applyFont="1" applyFill="1" applyBorder="1" applyAlignment="1">
      <alignment horizontal="center" vertical="center"/>
    </xf>
    <xf numFmtId="167" fontId="3" fillId="0" borderId="114" xfId="0" applyNumberFormat="1" applyFont="1" applyFill="1" applyBorder="1" applyAlignment="1">
      <alignment horizontal="center" vertical="center"/>
    </xf>
    <xf numFmtId="167" fontId="3" fillId="0" borderId="115" xfId="0" applyNumberFormat="1" applyFont="1" applyFill="1" applyBorder="1" applyAlignment="1">
      <alignment horizontal="center" vertical="center"/>
    </xf>
    <xf numFmtId="167" fontId="3" fillId="0" borderId="56" xfId="0" applyNumberFormat="1" applyFont="1" applyFill="1" applyBorder="1" applyAlignment="1">
      <alignment horizontal="center" vertical="center"/>
    </xf>
    <xf numFmtId="167" fontId="3" fillId="0" borderId="71" xfId="0" applyNumberFormat="1" applyFont="1" applyFill="1" applyBorder="1" applyAlignment="1">
      <alignment horizontal="center" vertical="center"/>
    </xf>
    <xf numFmtId="167" fontId="3" fillId="0" borderId="41" xfId="0" applyNumberFormat="1" applyFont="1" applyFill="1" applyBorder="1" applyAlignment="1">
      <alignment horizontal="center" vertical="center"/>
    </xf>
    <xf numFmtId="167" fontId="3" fillId="6" borderId="56" xfId="1" applyNumberFormat="1" applyFont="1" applyFill="1" applyBorder="1" applyAlignment="1">
      <alignment horizontal="center" vertical="center"/>
    </xf>
    <xf numFmtId="0" fontId="3" fillId="0" borderId="56" xfId="0" applyFont="1" applyBorder="1" applyAlignment="1">
      <alignment horizontal="center" vertical="center"/>
    </xf>
    <xf numFmtId="0" fontId="33" fillId="0" borderId="2" xfId="0" applyFont="1" applyBorder="1" applyAlignment="1">
      <alignment vertical="center"/>
    </xf>
    <xf numFmtId="0" fontId="12" fillId="0" borderId="57" xfId="0" applyFont="1" applyBorder="1" applyAlignment="1">
      <alignment vertical="center"/>
    </xf>
    <xf numFmtId="0" fontId="34" fillId="0" borderId="47" xfId="0" applyFont="1" applyBorder="1" applyAlignment="1">
      <alignment vertical="center"/>
    </xf>
    <xf numFmtId="0" fontId="12" fillId="0" borderId="58" xfId="0" applyFont="1" applyBorder="1" applyAlignment="1">
      <alignment vertical="center"/>
    </xf>
    <xf numFmtId="0" fontId="0" fillId="0" borderId="58" xfId="0" applyBorder="1" applyAlignment="1">
      <alignment vertical="center"/>
    </xf>
    <xf numFmtId="0" fontId="0" fillId="0" borderId="0" xfId="0" applyFill="1" applyAlignment="1">
      <alignment vertical="center"/>
    </xf>
    <xf numFmtId="0" fontId="15" fillId="0" borderId="0" xfId="0" applyFont="1" applyFill="1" applyAlignment="1">
      <alignment vertical="center"/>
    </xf>
    <xf numFmtId="0" fontId="12" fillId="0" borderId="0" xfId="0" applyFont="1" applyFill="1" applyAlignment="1">
      <alignment vertical="center"/>
    </xf>
    <xf numFmtId="0" fontId="1" fillId="2" borderId="0" xfId="0" applyFont="1" applyFill="1" applyBorder="1" applyAlignment="1">
      <alignment horizontal="center"/>
    </xf>
    <xf numFmtId="0" fontId="9" fillId="2" borderId="0" xfId="0" applyFont="1" applyFill="1" applyBorder="1" applyAlignment="1">
      <alignment horizontal="center" vertical="center"/>
    </xf>
    <xf numFmtId="166" fontId="2" fillId="0" borderId="0" xfId="0" applyNumberFormat="1" applyFont="1" applyBorder="1" applyAlignment="1">
      <alignment horizontal="center"/>
    </xf>
    <xf numFmtId="166" fontId="0" fillId="0" borderId="0" xfId="0" applyNumberFormat="1" applyBorder="1" applyAlignment="1">
      <alignment horizontal="center"/>
    </xf>
    <xf numFmtId="0" fontId="0" fillId="0" borderId="69" xfId="0" applyBorder="1" applyAlignment="1">
      <alignment horizontal="left" vertical="center"/>
    </xf>
    <xf numFmtId="167" fontId="32" fillId="5" borderId="100" xfId="0" applyNumberFormat="1" applyFont="1" applyFill="1" applyBorder="1" applyAlignment="1" applyProtection="1">
      <alignment horizontal="center" vertical="center"/>
      <protection locked="0"/>
    </xf>
    <xf numFmtId="167" fontId="32" fillId="0" borderId="116" xfId="0" applyNumberFormat="1" applyFont="1" applyFill="1" applyBorder="1" applyAlignment="1" applyProtection="1">
      <alignment horizontal="center" vertical="center"/>
      <protection locked="0"/>
    </xf>
    <xf numFmtId="167" fontId="32" fillId="0" borderId="6" xfId="0" applyNumberFormat="1" applyFont="1" applyFill="1" applyBorder="1" applyAlignment="1" applyProtection="1">
      <alignment horizontal="center" vertical="center"/>
      <protection locked="0"/>
    </xf>
    <xf numFmtId="167" fontId="32" fillId="5" borderId="56" xfId="0" applyNumberFormat="1" applyFont="1" applyFill="1" applyBorder="1" applyAlignment="1" applyProtection="1">
      <alignment horizontal="center" vertical="center"/>
      <protection locked="0"/>
    </xf>
    <xf numFmtId="167" fontId="32" fillId="0" borderId="117" xfId="0" applyNumberFormat="1" applyFont="1" applyFill="1" applyBorder="1" applyAlignment="1" applyProtection="1">
      <alignment horizontal="center" vertical="center"/>
      <protection locked="0"/>
    </xf>
    <xf numFmtId="167" fontId="32" fillId="0" borderId="12" xfId="0" applyNumberFormat="1" applyFont="1" applyFill="1" applyBorder="1" applyAlignment="1" applyProtection="1">
      <alignment horizontal="center" vertical="center"/>
      <protection locked="0"/>
    </xf>
    <xf numFmtId="0" fontId="11" fillId="3" borderId="23" xfId="0" quotePrefix="1" applyFont="1" applyFill="1" applyBorder="1" applyAlignment="1" applyProtection="1">
      <alignment horizontal="left" vertical="center"/>
      <protection locked="0"/>
    </xf>
    <xf numFmtId="0" fontId="11" fillId="7" borderId="2" xfId="0" applyFont="1" applyFill="1" applyBorder="1" applyAlignment="1" applyProtection="1">
      <alignment horizontal="left" vertical="center"/>
      <protection locked="0"/>
    </xf>
    <xf numFmtId="0" fontId="0" fillId="0" borderId="0" xfId="0" applyFont="1" applyFill="1" applyBorder="1" applyAlignment="1">
      <alignment horizontal="right" vertical="center"/>
    </xf>
    <xf numFmtId="0" fontId="0" fillId="0" borderId="118" xfId="0" applyBorder="1" applyAlignment="1">
      <alignment vertical="center" wrapText="1"/>
    </xf>
    <xf numFmtId="0" fontId="0" fillId="3" borderId="28" xfId="0" applyFill="1" applyBorder="1" applyAlignment="1">
      <alignment horizontal="center" vertical="center" wrapText="1"/>
    </xf>
    <xf numFmtId="0" fontId="0" fillId="3" borderId="29" xfId="0" applyFill="1" applyBorder="1" applyAlignment="1">
      <alignment horizontal="left" vertical="center" wrapText="1"/>
    </xf>
    <xf numFmtId="0" fontId="36" fillId="2" borderId="0" xfId="0" applyFont="1" applyFill="1" applyAlignment="1">
      <alignment horizontal="left" vertical="center"/>
    </xf>
    <xf numFmtId="0" fontId="0" fillId="2" borderId="0" xfId="0" applyFont="1" applyFill="1" applyBorder="1" applyAlignment="1">
      <alignment horizontal="right" vertical="center"/>
    </xf>
    <xf numFmtId="0" fontId="1" fillId="0" borderId="0" xfId="0" applyFont="1" applyFill="1" applyBorder="1" applyAlignment="1"/>
    <xf numFmtId="0" fontId="1" fillId="0" borderId="0" xfId="0" applyFont="1" applyFill="1" applyBorder="1" applyAlignment="1">
      <alignment horizontal="center"/>
    </xf>
    <xf numFmtId="0" fontId="1" fillId="0" borderId="0" xfId="0" applyFont="1" applyFill="1" applyBorder="1"/>
    <xf numFmtId="0" fontId="0" fillId="0" borderId="0" xfId="0" applyFill="1" applyBorder="1" applyAlignment="1">
      <alignment horizontal="center"/>
    </xf>
    <xf numFmtId="0" fontId="0" fillId="7" borderId="119" xfId="0" applyFill="1" applyBorder="1"/>
    <xf numFmtId="0" fontId="0" fillId="7" borderId="120" xfId="0" applyFill="1" applyBorder="1"/>
    <xf numFmtId="0" fontId="0" fillId="2" borderId="121" xfId="0" applyFill="1" applyBorder="1" applyAlignment="1">
      <alignment horizontal="center"/>
    </xf>
    <xf numFmtId="0" fontId="0" fillId="7" borderId="122" xfId="0" applyFill="1" applyBorder="1"/>
    <xf numFmtId="0" fontId="0" fillId="7" borderId="123" xfId="0" applyFill="1" applyBorder="1"/>
    <xf numFmtId="0" fontId="0" fillId="7" borderId="124" xfId="0" applyFill="1" applyBorder="1"/>
    <xf numFmtId="0" fontId="9" fillId="0" borderId="0" xfId="0" applyFont="1" applyFill="1" applyBorder="1" applyAlignment="1">
      <alignment horizontal="center" vertical="center"/>
    </xf>
    <xf numFmtId="14" fontId="0" fillId="4" borderId="18" xfId="0" applyNumberFormat="1" applyFill="1" applyBorder="1" applyAlignment="1" applyProtection="1">
      <alignment horizontal="left"/>
      <protection locked="0"/>
    </xf>
    <xf numFmtId="167" fontId="0" fillId="3" borderId="38" xfId="0" applyNumberFormat="1" applyFont="1" applyFill="1" applyBorder="1" applyAlignment="1" applyProtection="1">
      <alignment vertical="center"/>
      <protection locked="0"/>
    </xf>
    <xf numFmtId="169" fontId="0" fillId="7" borderId="79" xfId="0" applyNumberFormat="1" applyFill="1" applyBorder="1"/>
    <xf numFmtId="169" fontId="0" fillId="7" borderId="120" xfId="0" applyNumberFormat="1" applyFill="1" applyBorder="1"/>
    <xf numFmtId="169" fontId="2" fillId="7" borderId="79" xfId="2" applyNumberFormat="1" applyFont="1" applyFill="1" applyBorder="1"/>
    <xf numFmtId="0" fontId="31" fillId="2" borderId="2" xfId="0" applyFont="1" applyFill="1" applyBorder="1" applyAlignment="1">
      <alignment horizontal="center" vertical="center"/>
    </xf>
    <xf numFmtId="0" fontId="31" fillId="2" borderId="57" xfId="0" applyFont="1" applyFill="1" applyBorder="1" applyAlignment="1">
      <alignment horizontal="center" vertical="center"/>
    </xf>
    <xf numFmtId="0" fontId="31" fillId="2" borderId="4" xfId="0" applyFont="1" applyFill="1" applyBorder="1" applyAlignment="1">
      <alignment horizontal="center" vertical="center"/>
    </xf>
    <xf numFmtId="0" fontId="31" fillId="2" borderId="47" xfId="0" applyFont="1" applyFill="1" applyBorder="1" applyAlignment="1">
      <alignment horizontal="center" vertical="center"/>
    </xf>
    <xf numFmtId="0" fontId="31" fillId="2" borderId="58" xfId="0" applyFont="1" applyFill="1" applyBorder="1" applyAlignment="1">
      <alignment horizontal="center" vertical="center"/>
    </xf>
    <xf numFmtId="0" fontId="31" fillId="2" borderId="46" xfId="0" applyFont="1" applyFill="1" applyBorder="1" applyAlignment="1">
      <alignment horizontal="center" vertical="center"/>
    </xf>
    <xf numFmtId="0" fontId="25" fillId="2" borderId="47" xfId="0" applyFont="1" applyFill="1" applyBorder="1" applyAlignment="1">
      <alignment horizontal="center" vertical="center"/>
    </xf>
    <xf numFmtId="0" fontId="25" fillId="2" borderId="58" xfId="0" applyFont="1" applyFill="1" applyBorder="1" applyAlignment="1">
      <alignment horizontal="center" vertical="center"/>
    </xf>
    <xf numFmtId="0" fontId="25" fillId="2" borderId="46" xfId="0" applyFont="1" applyFill="1" applyBorder="1" applyAlignment="1">
      <alignment horizontal="center" vertical="center"/>
    </xf>
    <xf numFmtId="0" fontId="3" fillId="2" borderId="15" xfId="0" applyFont="1" applyFill="1" applyBorder="1" applyAlignment="1">
      <alignment horizontal="left" vertical="center"/>
    </xf>
    <xf numFmtId="0" fontId="9" fillId="2" borderId="15" xfId="0" applyFont="1" applyFill="1" applyBorder="1" applyAlignment="1">
      <alignment horizontal="left" vertical="center"/>
    </xf>
    <xf numFmtId="168" fontId="11" fillId="3" borderId="15" xfId="0" quotePrefix="1" applyNumberFormat="1" applyFont="1" applyFill="1" applyBorder="1" applyAlignment="1">
      <alignment horizontal="left" vertical="center"/>
    </xf>
    <xf numFmtId="0" fontId="0" fillId="8" borderId="0" xfId="0" applyFill="1" applyBorder="1" applyAlignment="1">
      <alignment horizontal="center" wrapText="1"/>
    </xf>
    <xf numFmtId="0" fontId="16" fillId="8" borderId="0" xfId="0" applyFont="1" applyFill="1" applyBorder="1" applyAlignment="1">
      <alignment horizontal="center" vertical="center" wrapText="1"/>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168" fontId="11" fillId="3" borderId="47" xfId="0" quotePrefix="1" applyNumberFormat="1" applyFont="1" applyFill="1" applyBorder="1" applyAlignment="1">
      <alignment horizontal="left" vertical="center"/>
    </xf>
    <xf numFmtId="168" fontId="11" fillId="3" borderId="58" xfId="0" quotePrefix="1" applyNumberFormat="1" applyFont="1" applyFill="1" applyBorder="1" applyAlignment="1">
      <alignment horizontal="left" vertical="center"/>
    </xf>
    <xf numFmtId="0" fontId="11" fillId="3" borderId="1" xfId="0" applyFont="1" applyFill="1" applyBorder="1" applyAlignment="1" applyProtection="1">
      <alignment horizontal="left" vertical="center"/>
      <protection locked="0"/>
    </xf>
    <xf numFmtId="0" fontId="11" fillId="3" borderId="11" xfId="0" applyFont="1" applyFill="1" applyBorder="1" applyAlignment="1" applyProtection="1">
      <alignment horizontal="left" vertical="center"/>
      <protection locked="0"/>
    </xf>
    <xf numFmtId="0" fontId="11" fillId="3" borderId="12" xfId="0" applyFont="1" applyFill="1" applyBorder="1" applyAlignment="1" applyProtection="1">
      <alignment horizontal="left" vertical="center"/>
      <protection locked="0"/>
    </xf>
    <xf numFmtId="0" fontId="3" fillId="2" borderId="18" xfId="0" applyFont="1" applyFill="1" applyBorder="1" applyAlignment="1">
      <alignment horizontal="left" vertical="center"/>
    </xf>
    <xf numFmtId="0" fontId="3" fillId="2" borderId="69" xfId="0" applyFont="1" applyFill="1" applyBorder="1" applyAlignment="1">
      <alignment horizontal="left" vertical="center"/>
    </xf>
    <xf numFmtId="168" fontId="11" fillId="3" borderId="46" xfId="0" quotePrefix="1" applyNumberFormat="1" applyFont="1" applyFill="1" applyBorder="1" applyAlignment="1">
      <alignment horizontal="left" vertical="center"/>
    </xf>
    <xf numFmtId="0" fontId="11" fillId="7" borderId="2" xfId="0" applyFont="1" applyFill="1" applyBorder="1" applyAlignment="1" applyProtection="1">
      <alignment horizontal="left" vertical="center"/>
      <protection locked="0"/>
    </xf>
    <xf numFmtId="0" fontId="11" fillId="3" borderId="57"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9" fillId="2" borderId="18" xfId="0" applyFont="1" applyFill="1" applyBorder="1" applyAlignment="1">
      <alignment horizontal="left" vertical="center"/>
    </xf>
    <xf numFmtId="0" fontId="9" fillId="2" borderId="69" xfId="0" applyFont="1" applyFill="1" applyBorder="1" applyAlignment="1">
      <alignment horizontal="left" vertical="center"/>
    </xf>
    <xf numFmtId="0" fontId="39" fillId="3" borderId="7" xfId="0" quotePrefix="1" applyFont="1" applyFill="1" applyBorder="1" applyAlignment="1">
      <alignment horizontal="left" vertical="center"/>
    </xf>
    <xf numFmtId="0" fontId="39" fillId="3" borderId="0" xfId="0" quotePrefix="1" applyFont="1" applyFill="1" applyBorder="1" applyAlignment="1">
      <alignment horizontal="left" vertical="center"/>
    </xf>
    <xf numFmtId="0" fontId="39" fillId="3" borderId="6" xfId="0" quotePrefix="1" applyFont="1" applyFill="1" applyBorder="1" applyAlignment="1">
      <alignment horizontal="left" vertical="center"/>
    </xf>
    <xf numFmtId="0" fontId="1" fillId="0" borderId="0" xfId="0" applyFont="1" applyFill="1" applyBorder="1" applyAlignment="1">
      <alignment horizontal="center"/>
    </xf>
    <xf numFmtId="0" fontId="3" fillId="2" borderId="44" xfId="0" applyFont="1" applyFill="1" applyBorder="1" applyAlignment="1">
      <alignment horizontal="left" vertical="center"/>
    </xf>
    <xf numFmtId="0" fontId="9" fillId="2" borderId="44" xfId="0" applyFont="1" applyFill="1" applyBorder="1" applyAlignment="1">
      <alignment horizontal="left" vertical="center"/>
    </xf>
    <xf numFmtId="0" fontId="1" fillId="0" borderId="18" xfId="0" applyFont="1" applyBorder="1" applyAlignment="1">
      <alignment horizontal="center"/>
    </xf>
    <xf numFmtId="0" fontId="1" fillId="0" borderId="44" xfId="0" applyFont="1" applyBorder="1" applyAlignment="1">
      <alignment horizontal="center"/>
    </xf>
    <xf numFmtId="0" fontId="1" fillId="0" borderId="9" xfId="0" applyFont="1" applyBorder="1" applyAlignment="1">
      <alignment horizont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1" xfId="0" applyFont="1" applyFill="1" applyBorder="1" applyAlignment="1">
      <alignment horizontal="left" vertical="center"/>
    </xf>
  </cellXfs>
  <cellStyles count="4">
    <cellStyle name="Comma [0]" xfId="2" builtinId="6"/>
    <cellStyle name="Hyperlink" xfId="3" builtinId="8"/>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drawings/drawing1.xml><?xml version="1.0" encoding="utf-8"?>
<xdr:wsDr xmlns:xdr="http://schemas.openxmlformats.org/drawingml/2006/spreadsheetDrawing" xmlns:a="http://schemas.openxmlformats.org/drawingml/2006/main">
  <xdr:twoCellAnchor>
    <xdr:from>
      <xdr:col>0</xdr:col>
      <xdr:colOff>350520</xdr:colOff>
      <xdr:row>19</xdr:row>
      <xdr:rowOff>150495</xdr:rowOff>
    </xdr:from>
    <xdr:to>
      <xdr:col>11</xdr:col>
      <xdr:colOff>209560</xdr:colOff>
      <xdr:row>84</xdr:row>
      <xdr:rowOff>2</xdr:rowOff>
    </xdr:to>
    <xdr:sp macro="" textlink="">
      <xdr:nvSpPr>
        <xdr:cNvPr id="4097" name="Text 1">
          <a:extLst>
            <a:ext uri="{FF2B5EF4-FFF2-40B4-BE49-F238E27FC236}">
              <a16:creationId xmlns:a16="http://schemas.microsoft.com/office/drawing/2014/main" id="{00000000-0008-0000-0000-000001100000}"/>
            </a:ext>
          </a:extLst>
        </xdr:cNvPr>
        <xdr:cNvSpPr txBox="1">
          <a:spLocks noChangeArrowheads="1"/>
        </xdr:cNvSpPr>
      </xdr:nvSpPr>
      <xdr:spPr bwMode="auto">
        <a:xfrm>
          <a:off x="352425" y="3638550"/>
          <a:ext cx="6448425" cy="10372725"/>
        </a:xfrm>
        <a:prstGeom prst="rect">
          <a:avLst/>
        </a:prstGeom>
        <a:solidFill>
          <a:srgbClr val="FFFF00"/>
        </a:solidFill>
        <a:ln w="9525">
          <a:solidFill>
            <a:srgbClr val="000000"/>
          </a:solidFill>
          <a:miter lim="800000"/>
          <a:headEnd/>
          <a:tailEnd/>
        </a:ln>
      </xdr:spPr>
      <xdr:txBody>
        <a:bodyPr vertOverflow="clip" wrap="square" lIns="36576" tIns="27432" rIns="0" bIns="0" anchor="t" upright="1"/>
        <a:lstStyle/>
        <a:p>
          <a:pPr algn="l" rtl="0">
            <a:lnSpc>
              <a:spcPts val="1300"/>
            </a:lnSpc>
            <a:defRPr sz="1000"/>
          </a:pPr>
          <a:r>
            <a:rPr lang="de-DE" sz="1200" b="1" i="0" u="none" strike="noStrike" baseline="0">
              <a:solidFill>
                <a:srgbClr val="000000"/>
              </a:solidFill>
              <a:latin typeface="Geneva"/>
            </a:rPr>
            <a:t>Instructions</a:t>
          </a:r>
          <a:endParaRPr lang="de-DE" sz="1000" b="1" i="0" u="none" strike="noStrike" baseline="0">
            <a:solidFill>
              <a:srgbClr val="000000"/>
            </a:solidFill>
            <a:latin typeface="Geneva"/>
          </a:endParaRPr>
        </a:p>
        <a:p>
          <a:pPr algn="l" rtl="0">
            <a:lnSpc>
              <a:spcPts val="1100"/>
            </a:lnSpc>
            <a:defRPr sz="1000"/>
          </a:pPr>
          <a:endParaRPr lang="de-DE" sz="1000" b="1" i="0" u="none" strike="noStrike" baseline="0">
            <a:solidFill>
              <a:srgbClr val="000000"/>
            </a:solidFill>
            <a:latin typeface="Geneva"/>
          </a:endParaRPr>
        </a:p>
        <a:p>
          <a:pPr algn="l" rtl="0">
            <a:lnSpc>
              <a:spcPts val="1100"/>
            </a:lnSpc>
            <a:defRPr sz="1000"/>
          </a:pPr>
          <a:r>
            <a:rPr lang="de-DE" sz="1000" b="1" i="0" u="none" strike="noStrike" baseline="0">
              <a:solidFill>
                <a:srgbClr val="000000"/>
              </a:solidFill>
              <a:latin typeface="Geneva"/>
            </a:rPr>
            <a:t>General:</a:t>
          </a:r>
          <a:r>
            <a:rPr lang="de-DE" sz="1000" b="0" i="0" u="none" strike="noStrike" baseline="0">
              <a:solidFill>
                <a:srgbClr val="000000"/>
              </a:solidFill>
              <a:latin typeface="Geneva"/>
            </a:rPr>
            <a:t> Please complete the personal details on this page. This will help the data coordinators identify who is responsible for the data set, and to trace any changes which may have been made. If you discover errors in your data submission and need to send in corrected estimates it is important to update these details, and also the boxes labelled 'Prepared (date)' on each worksheet. Please complete one workbook for each species and submit these separately.</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r>
            <a:rPr lang="de-DE" sz="1000" b="0" i="0" u="none" strike="noStrike" baseline="0">
              <a:solidFill>
                <a:srgbClr val="FF0000"/>
              </a:solidFill>
              <a:latin typeface="Geneva"/>
            </a:rPr>
            <a:t>It is most important to identify whether there are any issues about the catch or sampling which you think may require discussion or agreement with other members of the SC, by checking the radiobutton at the top of this page. This </a:t>
          </a:r>
          <a:r>
            <a:rPr lang="de-DE" sz="1000" b="1" i="0" u="none" strike="noStrike" baseline="0">
              <a:solidFill>
                <a:srgbClr val="FF0000"/>
              </a:solidFill>
              <a:latin typeface="Geneva"/>
            </a:rPr>
            <a:t>must</a:t>
          </a:r>
          <a:r>
            <a:rPr lang="de-DE" sz="1000" b="0" i="0" u="none" strike="noStrike" baseline="0">
              <a:solidFill>
                <a:srgbClr val="FF0000"/>
              </a:solidFill>
              <a:latin typeface="Geneva"/>
            </a:rPr>
            <a:t> done when the data are submitted, and obviously should not be left until data assembly and analysis has begun. Please be very careful with this as there is a risk of wasting other people's time if these  issues are not raised early. </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endParaRPr lang="de-DE" sz="1000" b="0" i="0" u="none" strike="noStrike" baseline="0">
            <a:solidFill>
              <a:srgbClr val="000000"/>
            </a:solidFill>
            <a:latin typeface="Geneva"/>
          </a:endParaRPr>
        </a:p>
      </xdr:txBody>
    </xdr:sp>
    <xdr:clientData/>
  </xdr:twoCellAnchor>
  <mc:AlternateContent xmlns:mc="http://schemas.openxmlformats.org/markup-compatibility/2006">
    <mc:Choice xmlns:a14="http://schemas.microsoft.com/office/drawing/2010/main" Requires="a14">
      <xdr:twoCellAnchor editAs="oneCell">
        <xdr:from>
          <xdr:col>8</xdr:col>
          <xdr:colOff>152400</xdr:colOff>
          <xdr:row>15</xdr:row>
          <xdr:rowOff>95250</xdr:rowOff>
        </xdr:from>
        <xdr:to>
          <xdr:col>11</xdr:col>
          <xdr:colOff>107950</xdr:colOff>
          <xdr:row>16</xdr:row>
          <xdr:rowOff>152400</xdr:rowOff>
        </xdr:to>
        <xdr:sp macro="" textlink="">
          <xdr:nvSpPr>
            <xdr:cNvPr id="4101" name="Option 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nl-NL" sz="1000" b="0" i="0" u="none" strike="noStrike" baseline="0">
                  <a:solidFill>
                    <a:srgbClr val="000000"/>
                  </a:solidFill>
                  <a:latin typeface="Geneva"/>
                </a:rPr>
                <a:t>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12700</xdr:rowOff>
        </xdr:from>
        <xdr:to>
          <xdr:col>11</xdr:col>
          <xdr:colOff>114300</xdr:colOff>
          <xdr:row>15</xdr:row>
          <xdr:rowOff>95250</xdr:rowOff>
        </xdr:to>
        <xdr:sp macro="" textlink="">
          <xdr:nvSpPr>
            <xdr:cNvPr id="4102" name="Option Button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nl-NL" sz="1000" b="0" i="0" u="none" strike="noStrike" baseline="0">
                  <a:solidFill>
                    <a:srgbClr val="000000"/>
                  </a:solidFill>
                  <a:latin typeface="Geneva"/>
                </a:rPr>
                <a:t>YES (no discussion required)</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634365</xdr:colOff>
      <xdr:row>9</xdr:row>
      <xdr:rowOff>112395</xdr:rowOff>
    </xdr:from>
    <xdr:to>
      <xdr:col>4</xdr:col>
      <xdr:colOff>28586</xdr:colOff>
      <xdr:row>40</xdr:row>
      <xdr:rowOff>28582</xdr:rowOff>
    </xdr:to>
    <xdr:sp macro="" textlink="">
      <xdr:nvSpPr>
        <xdr:cNvPr id="7169" name="Text Box 1">
          <a:extLst>
            <a:ext uri="{FF2B5EF4-FFF2-40B4-BE49-F238E27FC236}">
              <a16:creationId xmlns:a16="http://schemas.microsoft.com/office/drawing/2014/main" id="{00000000-0008-0000-0100-0000011C0000}"/>
            </a:ext>
          </a:extLst>
        </xdr:cNvPr>
        <xdr:cNvSpPr txBox="1">
          <a:spLocks noChangeArrowheads="1"/>
        </xdr:cNvSpPr>
      </xdr:nvSpPr>
      <xdr:spPr bwMode="auto">
        <a:xfrm>
          <a:off x="638175" y="2257425"/>
          <a:ext cx="6438900" cy="493395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endParaRPr lang="de-DE" sz="1000" b="0" i="0" u="none" strike="noStrike" baseline="0">
            <a:solidFill>
              <a:srgbClr val="000000"/>
            </a:solidFill>
            <a:latin typeface="Geneva"/>
          </a:endParaRPr>
        </a:p>
        <a:p>
          <a:pPr algn="l" rtl="0">
            <a:defRPr sz="1000"/>
          </a:pPr>
          <a:endParaRPr lang="de-DE" sz="1000" b="0" i="0" u="none" strike="noStrike" baseline="0">
            <a:solidFill>
              <a:srgbClr val="000000"/>
            </a:solidFill>
            <a:latin typeface="Geneva"/>
          </a:endParaRPr>
        </a:p>
      </xdr:txBody>
    </xdr:sp>
    <xdr:clientData/>
  </xdr:twoCellAnchor>
  <xdr:twoCellAnchor>
    <xdr:from>
      <xdr:col>0</xdr:col>
      <xdr:colOff>752475</xdr:colOff>
      <xdr:row>60</xdr:row>
      <xdr:rowOff>47625</xdr:rowOff>
    </xdr:from>
    <xdr:to>
      <xdr:col>4</xdr:col>
      <xdr:colOff>28575</xdr:colOff>
      <xdr:row>78</xdr:row>
      <xdr:rowOff>28575</xdr:rowOff>
    </xdr:to>
    <xdr:sp macro="" textlink="">
      <xdr:nvSpPr>
        <xdr:cNvPr id="7634" name="Text Box 2">
          <a:extLst>
            <a:ext uri="{FF2B5EF4-FFF2-40B4-BE49-F238E27FC236}">
              <a16:creationId xmlns:a16="http://schemas.microsoft.com/office/drawing/2014/main" id="{00000000-0008-0000-0100-0000D21D0000}"/>
            </a:ext>
          </a:extLst>
        </xdr:cNvPr>
        <xdr:cNvSpPr txBox="1">
          <a:spLocks noChangeArrowheads="1"/>
        </xdr:cNvSpPr>
      </xdr:nvSpPr>
      <xdr:spPr bwMode="auto">
        <a:xfrm>
          <a:off x="752475" y="11287125"/>
          <a:ext cx="6324600" cy="2895600"/>
        </a:xfrm>
        <a:prstGeom prst="rect">
          <a:avLst/>
        </a:prstGeom>
        <a:solidFill>
          <a:srgbClr val="FFFF99"/>
        </a:solidFill>
        <a:ln w="9525">
          <a:solidFill>
            <a:srgbClr val="000000"/>
          </a:solidFill>
          <a:miter lim="800000"/>
          <a:headEnd/>
          <a:tailEnd/>
        </a:ln>
      </xdr:spPr>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gchoi@korea.kr"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0070C0"/>
    <pageSetUpPr fitToPage="1"/>
  </sheetPr>
  <dimension ref="A1:K17"/>
  <sheetViews>
    <sheetView showGridLines="0" workbookViewId="0">
      <selection sqref="A1:XFD1"/>
    </sheetView>
  </sheetViews>
  <sheetFormatPr defaultColWidth="8.7265625" defaultRowHeight="12.5"/>
  <cols>
    <col min="1" max="5" width="8.7265625" customWidth="1"/>
    <col min="6" max="6" width="11.7265625" customWidth="1"/>
  </cols>
  <sheetData>
    <row r="1" spans="1:11" ht="22.5">
      <c r="A1" s="185" t="s">
        <v>80</v>
      </c>
    </row>
    <row r="2" spans="1:11" ht="13" thickBot="1"/>
    <row r="3" spans="1:11" ht="20.5" thickBot="1">
      <c r="B3" s="169" t="s">
        <v>81</v>
      </c>
      <c r="J3" s="186" t="s">
        <v>69</v>
      </c>
      <c r="K3" s="193">
        <v>2018</v>
      </c>
    </row>
    <row r="5" spans="1:11" ht="13">
      <c r="B5" s="170" t="s">
        <v>75</v>
      </c>
      <c r="C5" s="171"/>
      <c r="D5" s="171"/>
      <c r="E5" s="171"/>
      <c r="F5" s="172" t="s">
        <v>82</v>
      </c>
      <c r="G5" s="173"/>
      <c r="H5" s="173"/>
      <c r="I5" s="173"/>
      <c r="J5" s="173"/>
      <c r="K5" s="174"/>
    </row>
    <row r="6" spans="1:11" ht="13">
      <c r="B6" s="175" t="s">
        <v>134</v>
      </c>
      <c r="C6" s="176"/>
      <c r="D6" s="176"/>
      <c r="E6" s="176"/>
      <c r="F6" s="172" t="s">
        <v>157</v>
      </c>
      <c r="G6" s="173"/>
      <c r="H6" s="173"/>
      <c r="I6" s="173"/>
      <c r="J6" s="173"/>
      <c r="K6" s="174"/>
    </row>
    <row r="7" spans="1:11" ht="13">
      <c r="B7" s="175" t="s">
        <v>76</v>
      </c>
      <c r="C7" s="176"/>
      <c r="D7" s="176"/>
      <c r="E7" s="176"/>
      <c r="F7" s="172" t="s">
        <v>152</v>
      </c>
      <c r="G7" s="173"/>
      <c r="H7" s="173"/>
      <c r="I7" s="173"/>
      <c r="J7" s="173"/>
      <c r="K7" s="174"/>
    </row>
    <row r="8" spans="1:11" ht="13">
      <c r="B8" s="175" t="s">
        <v>77</v>
      </c>
      <c r="C8" s="176"/>
      <c r="D8" s="176"/>
      <c r="E8" s="176"/>
      <c r="F8" s="363">
        <v>42252</v>
      </c>
      <c r="G8" s="173"/>
      <c r="H8" s="173"/>
      <c r="I8" s="173"/>
      <c r="J8" s="173"/>
      <c r="K8" s="174"/>
    </row>
    <row r="9" spans="1:11" ht="13">
      <c r="B9" s="175" t="s">
        <v>78</v>
      </c>
      <c r="C9" s="176"/>
      <c r="D9" s="176"/>
      <c r="E9" s="176"/>
      <c r="F9" s="213" t="s">
        <v>154</v>
      </c>
      <c r="G9" s="173"/>
      <c r="H9" s="173"/>
      <c r="I9" s="173"/>
      <c r="J9" s="173"/>
      <c r="K9" s="174"/>
    </row>
    <row r="10" spans="1:11" ht="13">
      <c r="B10" s="175" t="s">
        <v>83</v>
      </c>
      <c r="C10" s="176"/>
      <c r="D10" s="176"/>
      <c r="E10" s="176"/>
      <c r="F10" s="211" t="s">
        <v>155</v>
      </c>
      <c r="G10" s="173"/>
      <c r="H10" s="173"/>
      <c r="I10" s="173"/>
      <c r="J10" s="173"/>
      <c r="K10" s="174"/>
    </row>
    <row r="11" spans="1:11" ht="13">
      <c r="B11" s="177" t="s">
        <v>79</v>
      </c>
      <c r="C11" s="178"/>
      <c r="D11" s="178"/>
      <c r="E11" s="178"/>
      <c r="F11" s="172" t="s">
        <v>156</v>
      </c>
      <c r="G11" s="173"/>
      <c r="H11" s="173"/>
      <c r="I11" s="173"/>
      <c r="J11" s="173"/>
      <c r="K11" s="174"/>
    </row>
    <row r="12" spans="1:11">
      <c r="B12" s="179" t="s">
        <v>56</v>
      </c>
      <c r="C12" s="180"/>
      <c r="D12" s="180"/>
      <c r="E12" s="180"/>
      <c r="F12" s="180"/>
      <c r="G12" s="180"/>
      <c r="H12" s="180"/>
      <c r="I12" s="180"/>
      <c r="J12" s="180"/>
      <c r="K12" s="181"/>
    </row>
    <row r="14" spans="1:11" ht="13">
      <c r="B14" s="182" t="s">
        <v>54</v>
      </c>
    </row>
    <row r="15" spans="1:11" ht="13">
      <c r="B15" s="182" t="s">
        <v>84</v>
      </c>
    </row>
    <row r="16" spans="1:11" ht="13">
      <c r="B16" s="182"/>
    </row>
    <row r="17" spans="2:2">
      <c r="B17" t="s">
        <v>68</v>
      </c>
    </row>
  </sheetData>
  <phoneticPr fontId="0" type="noConversion"/>
  <hyperlinks>
    <hyperlink ref="F9" r:id="rId1" xr:uid="{00000000-0004-0000-0000-000000000000}"/>
  </hyperlinks>
  <pageMargins left="0.78740157499999996" right="0.78740157499999996" top="0.984251969" bottom="0.984251969" header="0.5" footer="0.5"/>
  <pageSetup paperSize="9" scale="52"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4101" r:id="rId5" name="Option Button 5">
              <controlPr defaultSize="0" autoFill="0" autoLine="0" autoPict="0">
                <anchor moveWithCells="1">
                  <from>
                    <xdr:col>8</xdr:col>
                    <xdr:colOff>152400</xdr:colOff>
                    <xdr:row>15</xdr:row>
                    <xdr:rowOff>95250</xdr:rowOff>
                  </from>
                  <to>
                    <xdr:col>11</xdr:col>
                    <xdr:colOff>107950</xdr:colOff>
                    <xdr:row>16</xdr:row>
                    <xdr:rowOff>152400</xdr:rowOff>
                  </to>
                </anchor>
              </controlPr>
            </control>
          </mc:Choice>
        </mc:AlternateContent>
        <mc:AlternateContent xmlns:mc="http://schemas.openxmlformats.org/markup-compatibility/2006">
          <mc:Choice Requires="x14">
            <control shapeId="4102" r:id="rId6" name="Option Button 6">
              <controlPr defaultSize="0" autoFill="0" autoLine="0" autoPict="0">
                <anchor moveWithCells="1">
                  <from>
                    <xdr:col>8</xdr:col>
                    <xdr:colOff>152400</xdr:colOff>
                    <xdr:row>14</xdr:row>
                    <xdr:rowOff>12700</xdr:rowOff>
                  </from>
                  <to>
                    <xdr:col>11</xdr:col>
                    <xdr:colOff>114300</xdr:colOff>
                    <xdr:row>15</xdr:row>
                    <xdr:rowOff>95250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2:E60"/>
  <sheetViews>
    <sheetView workbookViewId="0">
      <selection activeCell="C57" sqref="C57"/>
    </sheetView>
  </sheetViews>
  <sheetFormatPr defaultColWidth="11.54296875" defaultRowHeight="12.5"/>
  <cols>
    <col min="1" max="1" width="11.54296875" customWidth="1"/>
    <col min="2" max="2" width="22.1796875" customWidth="1"/>
    <col min="3" max="3" width="26" customWidth="1"/>
    <col min="4" max="4" width="46" customWidth="1"/>
    <col min="5" max="10" width="11.54296875" customWidth="1"/>
    <col min="11" max="11" width="24.81640625" customWidth="1"/>
  </cols>
  <sheetData>
    <row r="2" spans="1:5" ht="22.5">
      <c r="A2" s="185" t="s">
        <v>80</v>
      </c>
    </row>
    <row r="3" spans="1:5" ht="23" thickBot="1">
      <c r="A3" s="185"/>
    </row>
    <row r="4" spans="1:5" ht="22.5">
      <c r="A4" s="185"/>
      <c r="B4" s="346" t="s">
        <v>135</v>
      </c>
      <c r="C4" s="190" t="str">
        <f>'START HERE'!F6</f>
        <v>Korea</v>
      </c>
      <c r="D4" s="188"/>
      <c r="E4" s="36"/>
    </row>
    <row r="5" spans="1:5" ht="22.5">
      <c r="A5" s="185"/>
      <c r="B5" s="209" t="s">
        <v>2</v>
      </c>
      <c r="C5" s="191" t="str">
        <f>'START HERE'!F5</f>
        <v>Jack mackerel</v>
      </c>
      <c r="D5" s="165"/>
      <c r="E5" s="36"/>
    </row>
    <row r="6" spans="1:5" ht="23" thickBot="1">
      <c r="A6" s="185"/>
      <c r="B6" s="209" t="s">
        <v>3</v>
      </c>
      <c r="C6" s="192">
        <f>'START HERE'!K3</f>
        <v>2018</v>
      </c>
      <c r="D6" s="189"/>
      <c r="E6" s="189"/>
    </row>
    <row r="9" spans="1:5" ht="13">
      <c r="B9" t="s">
        <v>136</v>
      </c>
    </row>
    <row r="43" spans="2:4" ht="13">
      <c r="B43" s="182" t="s">
        <v>137</v>
      </c>
    </row>
    <row r="44" spans="2:4">
      <c r="B44" t="s">
        <v>55</v>
      </c>
    </row>
    <row r="45" spans="2:4" ht="13" thickBot="1"/>
    <row r="46" spans="2:4" ht="13.5" thickBot="1">
      <c r="B46" s="4"/>
      <c r="C46" s="32"/>
      <c r="D46" s="162" t="s">
        <v>71</v>
      </c>
    </row>
    <row r="47" spans="2:4">
      <c r="B47" s="46" t="s">
        <v>72</v>
      </c>
      <c r="C47" s="49"/>
      <c r="D47" s="43"/>
    </row>
    <row r="48" spans="2:4">
      <c r="B48" s="47" t="s">
        <v>73</v>
      </c>
      <c r="C48" s="50"/>
      <c r="D48" s="44"/>
    </row>
    <row r="49" spans="2:4">
      <c r="B49" s="47" t="s">
        <v>74</v>
      </c>
      <c r="C49" s="50"/>
      <c r="D49" s="44"/>
    </row>
    <row r="50" spans="2:4">
      <c r="B50" s="47" t="s">
        <v>63</v>
      </c>
      <c r="C50" s="50"/>
      <c r="D50" s="44"/>
    </row>
    <row r="51" spans="2:4">
      <c r="B51" s="47" t="s">
        <v>64</v>
      </c>
      <c r="C51" s="50"/>
      <c r="D51" s="44"/>
    </row>
    <row r="52" spans="2:4">
      <c r="B52" s="47" t="s">
        <v>65</v>
      </c>
      <c r="C52" s="50"/>
      <c r="D52" s="44"/>
    </row>
    <row r="53" spans="2:4">
      <c r="B53" s="47" t="s">
        <v>32</v>
      </c>
      <c r="C53" s="50"/>
      <c r="D53" s="44"/>
    </row>
    <row r="54" spans="2:4">
      <c r="B54" s="47" t="s">
        <v>33</v>
      </c>
      <c r="C54" s="50"/>
      <c r="D54" s="44"/>
    </row>
    <row r="55" spans="2:4">
      <c r="B55" s="47" t="s">
        <v>34</v>
      </c>
      <c r="C55" s="50"/>
      <c r="D55" s="44"/>
    </row>
    <row r="56" spans="2:4" ht="25">
      <c r="B56" s="47" t="s">
        <v>66</v>
      </c>
      <c r="C56" s="50"/>
      <c r="D56" s="44"/>
    </row>
    <row r="57" spans="2:4" ht="50">
      <c r="B57" s="347" t="s">
        <v>142</v>
      </c>
      <c r="C57" s="348"/>
      <c r="D57" s="349"/>
    </row>
    <row r="58" spans="2:4" ht="25.5" thickBot="1">
      <c r="B58" s="48" t="s">
        <v>67</v>
      </c>
      <c r="C58" s="51"/>
      <c r="D58" s="45"/>
    </row>
    <row r="60" spans="2:4">
      <c r="B60" t="s">
        <v>20</v>
      </c>
    </row>
  </sheetData>
  <phoneticPr fontId="0" type="noConversion"/>
  <pageMargins left="0.78740157499999996" right="0.78740157499999996" top="0.984251969" bottom="0.984251969" header="0.4921259845" footer="0.4921259845"/>
  <pageSetup paperSize="9" scale="56"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0070C0"/>
    <pageSetUpPr autoPageBreaks="0" fitToPage="1"/>
  </sheetPr>
  <dimension ref="A1:S24"/>
  <sheetViews>
    <sheetView zoomScale="70" zoomScaleNormal="70" workbookViewId="0">
      <selection activeCell="B8" sqref="B8"/>
    </sheetView>
  </sheetViews>
  <sheetFormatPr defaultColWidth="8.7265625" defaultRowHeight="24.75" customHeight="1"/>
  <cols>
    <col min="1" max="1" width="18.453125" customWidth="1"/>
    <col min="2" max="2" width="28" bestFit="1" customWidth="1"/>
    <col min="3" max="3" width="26.453125" customWidth="1"/>
    <col min="4" max="4" width="15.54296875" customWidth="1"/>
    <col min="5" max="5" width="29.26953125" customWidth="1"/>
    <col min="6" max="6" width="32.1796875" customWidth="1"/>
    <col min="7" max="7" width="15.54296875" customWidth="1"/>
    <col min="8" max="8" width="29.26953125" bestFit="1" customWidth="1"/>
    <col min="9" max="9" width="38.453125" bestFit="1" customWidth="1"/>
    <col min="10" max="10" width="15.54296875" customWidth="1"/>
    <col min="11" max="11" width="29.26953125" bestFit="1" customWidth="1"/>
    <col min="12" max="12" width="38.453125" bestFit="1" customWidth="1"/>
    <col min="13" max="13" width="15.54296875" customWidth="1"/>
    <col min="14" max="14" width="27" customWidth="1"/>
    <col min="15" max="16" width="31" customWidth="1"/>
    <col min="17" max="17" width="22.453125" customWidth="1"/>
    <col min="18" max="18" width="34" bestFit="1" customWidth="1"/>
    <col min="19" max="19" width="19" customWidth="1"/>
    <col min="20" max="20" width="13.81640625" customWidth="1"/>
    <col min="21" max="21" width="12.7265625" customWidth="1"/>
    <col min="22" max="22" width="12.54296875" bestFit="1" customWidth="1"/>
    <col min="23" max="23" width="10.54296875" customWidth="1"/>
    <col min="24" max="24" width="13.81640625" customWidth="1"/>
    <col min="25" max="25" width="12.7265625" customWidth="1"/>
    <col min="26" max="26" width="12.54296875" customWidth="1"/>
    <col min="27" max="27" width="22.453125" bestFit="1" customWidth="1"/>
    <col min="28" max="28" width="19" bestFit="1" customWidth="1"/>
    <col min="29" max="29" width="15.54296875" bestFit="1" customWidth="1"/>
    <col min="30" max="30" width="20.7265625" bestFit="1" customWidth="1"/>
    <col min="31" max="31" width="51.54296875" bestFit="1" customWidth="1"/>
  </cols>
  <sheetData>
    <row r="1" spans="1:19" ht="24.75" customHeight="1">
      <c r="A1" s="185" t="s">
        <v>104</v>
      </c>
    </row>
    <row r="2" spans="1:19" s="7" customFormat="1" ht="19.5" customHeight="1">
      <c r="A2" s="34" t="s">
        <v>105</v>
      </c>
      <c r="B2" s="263" t="s">
        <v>106</v>
      </c>
      <c r="C2" s="91" t="s">
        <v>107</v>
      </c>
      <c r="D2" s="4"/>
      <c r="E2" s="6"/>
    </row>
    <row r="3" spans="1:19" s="7" customFormat="1" ht="19.5" customHeight="1">
      <c r="A3" s="185"/>
      <c r="B3" s="4"/>
      <c r="C3" s="264" t="s">
        <v>108</v>
      </c>
      <c r="D3" s="4"/>
      <c r="E3" s="265"/>
    </row>
    <row r="4" spans="1:19" s="7" customFormat="1" ht="19.5" customHeight="1">
      <c r="A4" s="12" t="s">
        <v>21</v>
      </c>
      <c r="B4" s="266" t="s">
        <v>157</v>
      </c>
      <c r="C4" s="264" t="s">
        <v>109</v>
      </c>
      <c r="D4" s="4"/>
      <c r="E4" s="265"/>
    </row>
    <row r="5" spans="1:19" s="7" customFormat="1" ht="19.5" customHeight="1">
      <c r="A5" s="12" t="s">
        <v>22</v>
      </c>
      <c r="B5" s="266" t="s">
        <v>82</v>
      </c>
      <c r="C5" s="92" t="s">
        <v>110</v>
      </c>
      <c r="D5" s="4"/>
      <c r="E5" s="265"/>
    </row>
    <row r="6" spans="1:19" s="7" customFormat="1" ht="19.5" customHeight="1">
      <c r="A6" s="12" t="s">
        <v>15</v>
      </c>
      <c r="B6" s="267">
        <v>2019</v>
      </c>
      <c r="C6" s="264" t="s">
        <v>111</v>
      </c>
      <c r="D6" s="4"/>
      <c r="E6" s="265"/>
    </row>
    <row r="7" spans="1:19" s="7" customFormat="1" ht="19.5" customHeight="1">
      <c r="A7" s="35" t="s">
        <v>16</v>
      </c>
      <c r="B7" s="268"/>
      <c r="C7" s="269" t="s">
        <v>112</v>
      </c>
      <c r="D7" s="4"/>
      <c r="E7" s="6"/>
    </row>
    <row r="8" spans="1:19" s="7" customFormat="1" ht="19.5" customHeight="1">
      <c r="A8" s="35"/>
      <c r="B8" s="270"/>
      <c r="C8" s="264" t="s">
        <v>113</v>
      </c>
      <c r="D8" s="4"/>
      <c r="E8" s="6"/>
    </row>
    <row r="9" spans="1:19" s="7" customFormat="1" ht="19.5" customHeight="1">
      <c r="A9" s="35"/>
      <c r="B9" s="271" t="s">
        <v>114</v>
      </c>
      <c r="C9" s="264" t="s">
        <v>115</v>
      </c>
      <c r="D9" s="4"/>
      <c r="E9" s="6"/>
    </row>
    <row r="10" spans="1:19" ht="24.75" customHeight="1">
      <c r="A10" s="7"/>
      <c r="B10" s="7"/>
      <c r="C10" s="7"/>
      <c r="D10" s="7"/>
      <c r="E10" s="7"/>
      <c r="F10" s="7"/>
      <c r="G10" s="7"/>
      <c r="H10" s="7"/>
      <c r="I10" s="7"/>
      <c r="J10" s="7"/>
      <c r="K10" s="7"/>
      <c r="L10" s="7"/>
      <c r="M10" s="7"/>
      <c r="N10" s="7"/>
      <c r="O10" s="7"/>
      <c r="P10" s="7"/>
      <c r="Q10" s="7"/>
    </row>
    <row r="11" spans="1:19" ht="24.75" customHeight="1" thickBot="1">
      <c r="A11" s="7"/>
      <c r="N11" s="7"/>
      <c r="O11" s="7"/>
      <c r="P11" s="7"/>
      <c r="Q11" s="7"/>
    </row>
    <row r="12" spans="1:19" ht="24.75" customHeight="1">
      <c r="A12" s="272"/>
      <c r="B12" s="368" t="s">
        <v>116</v>
      </c>
      <c r="C12" s="369"/>
      <c r="D12" s="370"/>
      <c r="E12" s="368" t="s">
        <v>117</v>
      </c>
      <c r="F12" s="369"/>
      <c r="G12" s="370"/>
      <c r="H12" s="368" t="s">
        <v>118</v>
      </c>
      <c r="I12" s="369"/>
      <c r="J12" s="370"/>
      <c r="K12" s="368" t="s">
        <v>119</v>
      </c>
      <c r="L12" s="369"/>
      <c r="M12" s="370"/>
      <c r="N12" s="368" t="s">
        <v>120</v>
      </c>
      <c r="O12" s="369"/>
      <c r="P12" s="369"/>
      <c r="Q12" s="370"/>
    </row>
    <row r="13" spans="1:19" ht="24.75" customHeight="1" thickBot="1">
      <c r="A13" s="7"/>
      <c r="B13" s="374">
        <f>'START HERE'!$K$3</f>
        <v>2018</v>
      </c>
      <c r="C13" s="375"/>
      <c r="D13" s="376"/>
      <c r="E13" s="374">
        <f>'START HERE'!$K$3</f>
        <v>2018</v>
      </c>
      <c r="F13" s="375"/>
      <c r="G13" s="376"/>
      <c r="H13" s="374">
        <f>'START HERE'!$K$3</f>
        <v>2018</v>
      </c>
      <c r="I13" s="375"/>
      <c r="J13" s="376"/>
      <c r="K13" s="374">
        <f>'START HERE'!$K$3</f>
        <v>2018</v>
      </c>
      <c r="L13" s="375"/>
      <c r="M13" s="376"/>
      <c r="N13" s="371"/>
      <c r="O13" s="372"/>
      <c r="P13" s="372"/>
      <c r="Q13" s="373"/>
    </row>
    <row r="14" spans="1:19" ht="24.75" customHeight="1">
      <c r="A14" s="273"/>
      <c r="B14" s="274"/>
      <c r="D14" s="276"/>
      <c r="E14" s="274"/>
      <c r="F14" s="275"/>
      <c r="G14" s="276"/>
      <c r="H14" s="274"/>
      <c r="I14" s="275"/>
      <c r="J14" s="276"/>
      <c r="K14" s="274"/>
      <c r="L14" s="275"/>
      <c r="M14" s="277"/>
      <c r="N14" s="278"/>
      <c r="O14" s="279"/>
      <c r="P14" s="280"/>
      <c r="Q14" s="281" t="s">
        <v>121</v>
      </c>
      <c r="R14" s="280" t="s">
        <v>122</v>
      </c>
      <c r="S14" s="273"/>
    </row>
    <row r="15" spans="1:19" ht="24.75" customHeight="1">
      <c r="A15" s="282"/>
      <c r="B15" s="283" t="s">
        <v>123</v>
      </c>
      <c r="C15" s="284" t="s">
        <v>139</v>
      </c>
      <c r="D15" s="284" t="s">
        <v>124</v>
      </c>
      <c r="E15" s="283" t="s">
        <v>123</v>
      </c>
      <c r="F15" s="284" t="s">
        <v>139</v>
      </c>
      <c r="G15" s="285" t="s">
        <v>124</v>
      </c>
      <c r="H15" s="283" t="s">
        <v>123</v>
      </c>
      <c r="I15" s="284" t="s">
        <v>139</v>
      </c>
      <c r="J15" s="285" t="s">
        <v>124</v>
      </c>
      <c r="K15" s="283" t="s">
        <v>123</v>
      </c>
      <c r="L15" s="284" t="s">
        <v>139</v>
      </c>
      <c r="M15" s="286" t="s">
        <v>124</v>
      </c>
      <c r="N15" s="287" t="s">
        <v>123</v>
      </c>
      <c r="O15" s="284" t="s">
        <v>139</v>
      </c>
      <c r="P15" s="288" t="s">
        <v>124</v>
      </c>
      <c r="Q15" s="289" t="s">
        <v>125</v>
      </c>
      <c r="R15" s="288" t="s">
        <v>126</v>
      </c>
      <c r="S15" s="290" t="s">
        <v>140</v>
      </c>
    </row>
    <row r="16" spans="1:19" ht="24.75" customHeight="1" thickBot="1">
      <c r="A16" s="90" t="s">
        <v>138</v>
      </c>
      <c r="B16" s="291" t="s">
        <v>18</v>
      </c>
      <c r="C16" s="292" t="s">
        <v>18</v>
      </c>
      <c r="D16" s="293" t="s">
        <v>18</v>
      </c>
      <c r="E16" s="291" t="s">
        <v>18</v>
      </c>
      <c r="F16" s="292" t="s">
        <v>18</v>
      </c>
      <c r="G16" s="293" t="s">
        <v>18</v>
      </c>
      <c r="H16" s="291" t="s">
        <v>18</v>
      </c>
      <c r="I16" s="292" t="s">
        <v>18</v>
      </c>
      <c r="J16" s="293" t="s">
        <v>18</v>
      </c>
      <c r="K16" s="291" t="s">
        <v>18</v>
      </c>
      <c r="L16" s="292" t="s">
        <v>18</v>
      </c>
      <c r="M16" s="294" t="s">
        <v>18</v>
      </c>
      <c r="N16" s="295" t="s">
        <v>18</v>
      </c>
      <c r="O16" s="296" t="s">
        <v>18</v>
      </c>
      <c r="P16" s="297" t="s">
        <v>18</v>
      </c>
      <c r="Q16" s="298" t="s">
        <v>18</v>
      </c>
      <c r="R16" s="299" t="s">
        <v>127</v>
      </c>
      <c r="S16" s="90"/>
    </row>
    <row r="17" spans="1:19" ht="24.75" customHeight="1">
      <c r="A17" s="201" t="s">
        <v>130</v>
      </c>
      <c r="B17" s="300"/>
      <c r="C17" s="301"/>
      <c r="D17" s="302"/>
      <c r="E17" s="303"/>
      <c r="F17" s="301"/>
      <c r="G17" s="302"/>
      <c r="H17" s="303"/>
      <c r="I17" s="301"/>
      <c r="J17" s="302"/>
      <c r="K17" s="303"/>
      <c r="L17" s="301"/>
      <c r="M17" s="304"/>
      <c r="N17" s="305">
        <f t="shared" ref="N17:P21" si="0">SUM(B17+E17+H17+K17)</f>
        <v>0</v>
      </c>
      <c r="O17" s="306">
        <f t="shared" si="0"/>
        <v>0</v>
      </c>
      <c r="P17" s="307">
        <f t="shared" si="0"/>
        <v>0</v>
      </c>
      <c r="Q17" s="308">
        <f>SUM(O17:P17)</f>
        <v>0</v>
      </c>
      <c r="R17" s="309"/>
      <c r="S17" s="201" t="s">
        <v>96</v>
      </c>
    </row>
    <row r="18" spans="1:19" ht="24.75" customHeight="1">
      <c r="A18" s="201" t="s">
        <v>103</v>
      </c>
      <c r="B18" s="300"/>
      <c r="C18" s="310"/>
      <c r="D18" s="311"/>
      <c r="E18" s="300"/>
      <c r="F18" s="310"/>
      <c r="G18" s="311"/>
      <c r="H18" s="300"/>
      <c r="I18" s="310"/>
      <c r="J18" s="311"/>
      <c r="K18" s="300"/>
      <c r="L18" s="310"/>
      <c r="M18" s="312"/>
      <c r="N18" s="305">
        <f t="shared" si="0"/>
        <v>0</v>
      </c>
      <c r="O18" s="306">
        <f t="shared" si="0"/>
        <v>0</v>
      </c>
      <c r="P18" s="307">
        <f t="shared" si="0"/>
        <v>0</v>
      </c>
      <c r="Q18" s="313">
        <f>SUM(O18:P18)</f>
        <v>0</v>
      </c>
      <c r="R18" s="314"/>
      <c r="S18" s="201" t="s">
        <v>103</v>
      </c>
    </row>
    <row r="19" spans="1:19" ht="24.75" customHeight="1">
      <c r="A19" s="201" t="s">
        <v>102</v>
      </c>
      <c r="B19" s="300"/>
      <c r="C19" s="310"/>
      <c r="D19" s="311"/>
      <c r="E19" s="300"/>
      <c r="F19" s="310"/>
      <c r="G19" s="311"/>
      <c r="H19" s="300"/>
      <c r="I19" s="310"/>
      <c r="J19" s="311"/>
      <c r="K19" s="300"/>
      <c r="L19" s="310"/>
      <c r="M19" s="312"/>
      <c r="N19" s="305">
        <f t="shared" si="0"/>
        <v>0</v>
      </c>
      <c r="O19" s="306">
        <f t="shared" si="0"/>
        <v>0</v>
      </c>
      <c r="P19" s="307">
        <f t="shared" si="0"/>
        <v>0</v>
      </c>
      <c r="Q19" s="313">
        <f>SUM(O19:P19)</f>
        <v>0</v>
      </c>
      <c r="R19" s="314"/>
      <c r="S19" s="201" t="s">
        <v>102</v>
      </c>
    </row>
    <row r="20" spans="1:19" ht="24.75" customHeight="1" thickBot="1">
      <c r="A20" s="201" t="s">
        <v>101</v>
      </c>
      <c r="B20" s="300">
        <v>0</v>
      </c>
      <c r="C20" s="310">
        <v>0</v>
      </c>
      <c r="D20" s="311">
        <v>0</v>
      </c>
      <c r="E20" s="300">
        <v>0</v>
      </c>
      <c r="F20" s="310">
        <v>93.3</v>
      </c>
      <c r="G20" s="311">
        <v>0</v>
      </c>
      <c r="H20" s="300">
        <v>1979.61</v>
      </c>
      <c r="I20" s="310">
        <v>1891.83</v>
      </c>
      <c r="J20" s="311">
        <v>0</v>
      </c>
      <c r="K20" s="300">
        <v>1727.06</v>
      </c>
      <c r="L20" s="310">
        <v>1732.06</v>
      </c>
      <c r="M20" s="312">
        <v>0</v>
      </c>
      <c r="N20" s="338">
        <f t="shared" si="0"/>
        <v>3706.67</v>
      </c>
      <c r="O20" s="339">
        <f t="shared" si="0"/>
        <v>3717.1899999999996</v>
      </c>
      <c r="P20" s="340">
        <f t="shared" si="0"/>
        <v>0</v>
      </c>
      <c r="Q20" s="313">
        <f>SUM(O20:P20)</f>
        <v>3717.1899999999996</v>
      </c>
      <c r="R20" s="314"/>
      <c r="S20" s="201" t="s">
        <v>101</v>
      </c>
    </row>
    <row r="21" spans="1:19" ht="24.75" customHeight="1" thickBot="1">
      <c r="A21" s="315" t="s">
        <v>57</v>
      </c>
      <c r="B21" s="316">
        <f t="shared" ref="B21:M21" si="1">SUM(B17:B20)</f>
        <v>0</v>
      </c>
      <c r="C21" s="317">
        <f t="shared" si="1"/>
        <v>0</v>
      </c>
      <c r="D21" s="318">
        <f t="shared" si="1"/>
        <v>0</v>
      </c>
      <c r="E21" s="316">
        <f t="shared" si="1"/>
        <v>0</v>
      </c>
      <c r="F21" s="317">
        <f t="shared" si="1"/>
        <v>93.3</v>
      </c>
      <c r="G21" s="319">
        <f t="shared" si="1"/>
        <v>0</v>
      </c>
      <c r="H21" s="320">
        <f t="shared" si="1"/>
        <v>1979.61</v>
      </c>
      <c r="I21" s="321">
        <f t="shared" si="1"/>
        <v>1891.83</v>
      </c>
      <c r="J21" s="319">
        <f t="shared" si="1"/>
        <v>0</v>
      </c>
      <c r="K21" s="320">
        <f t="shared" si="1"/>
        <v>1727.06</v>
      </c>
      <c r="L21" s="321">
        <f t="shared" si="1"/>
        <v>1732.06</v>
      </c>
      <c r="M21" s="322">
        <f t="shared" si="1"/>
        <v>0</v>
      </c>
      <c r="N21" s="341">
        <f t="shared" si="0"/>
        <v>3706.67</v>
      </c>
      <c r="O21" s="342">
        <f t="shared" si="0"/>
        <v>3717.1899999999996</v>
      </c>
      <c r="P21" s="343">
        <f t="shared" si="0"/>
        <v>0</v>
      </c>
      <c r="Q21" s="323">
        <f>SUM(O21:P21)</f>
        <v>3717.1899999999996</v>
      </c>
      <c r="S21" s="324" t="s">
        <v>36</v>
      </c>
    </row>
    <row r="22" spans="1:19" ht="24.75" customHeight="1">
      <c r="A22" s="325" t="s">
        <v>128</v>
      </c>
      <c r="B22" s="326"/>
      <c r="C22" s="326"/>
      <c r="D22" s="326"/>
      <c r="E22" s="326"/>
      <c r="F22" s="326"/>
      <c r="G22" s="89"/>
      <c r="H22" s="89"/>
      <c r="I22" s="89"/>
      <c r="J22" s="89"/>
      <c r="K22" s="89"/>
      <c r="L22" s="89"/>
      <c r="M22" s="89"/>
      <c r="N22" s="89"/>
      <c r="O22" s="89"/>
      <c r="P22" s="89"/>
      <c r="Q22" s="89"/>
    </row>
    <row r="23" spans="1:19" ht="24.75" customHeight="1" thickBot="1">
      <c r="A23" s="327" t="s">
        <v>129</v>
      </c>
      <c r="B23" s="328"/>
      <c r="C23" s="328"/>
      <c r="D23" s="328"/>
      <c r="E23" s="329"/>
      <c r="F23" s="328"/>
      <c r="G23" s="89"/>
      <c r="H23" s="89"/>
      <c r="I23" s="89"/>
      <c r="J23" s="89"/>
      <c r="K23" s="89"/>
      <c r="L23" s="89"/>
      <c r="M23" s="89"/>
      <c r="N23" s="7"/>
      <c r="O23" s="7"/>
      <c r="P23" s="7"/>
      <c r="Q23" s="7"/>
    </row>
    <row r="24" spans="1:19" ht="24.75" customHeight="1">
      <c r="A24" s="7"/>
      <c r="B24" s="7"/>
      <c r="C24" s="7"/>
      <c r="D24" s="7"/>
      <c r="E24" s="7"/>
      <c r="F24" s="7"/>
      <c r="G24" s="7"/>
      <c r="H24" s="7"/>
      <c r="I24" s="7"/>
      <c r="J24" s="7"/>
      <c r="K24" s="7"/>
      <c r="L24" s="7"/>
      <c r="M24" s="7"/>
    </row>
  </sheetData>
  <mergeCells count="9">
    <mergeCell ref="N12:Q13"/>
    <mergeCell ref="B13:D13"/>
    <mergeCell ref="E13:G13"/>
    <mergeCell ref="H13:J13"/>
    <mergeCell ref="K13:M13"/>
    <mergeCell ref="B12:D12"/>
    <mergeCell ref="E12:G12"/>
    <mergeCell ref="H12:J12"/>
    <mergeCell ref="K12:M12"/>
  </mergeCells>
  <phoneticPr fontId="37" type="noConversion"/>
  <dataValidations count="4">
    <dataValidation type="whole" errorStyle="warning" allowBlank="1" showInputMessage="1" showErrorMessage="1" errorTitle="Please Check" error="Confirm that the value you have entered is correct" promptTitle="Landings" prompt="Official landings " sqref="B17:B20 E17:E20 H17:H20 K17:K20" xr:uid="{00000000-0002-0000-0200-000000000000}">
      <formula1>0</formula1>
      <formula2>100000</formula2>
    </dataValidation>
    <dataValidation type="whole" errorStyle="warning" allowBlank="1" showInputMessage="1" showErrorMessage="1" errorTitle="Please Check" error="Please confirm that the value you have entered is correct" promptTitle="Discards" prompt="Estimate of tonnage discarded " sqref="D17:D20 G17:G20 J17:J20 M17:M20" xr:uid="{00000000-0002-0000-0200-000001000000}">
      <formula1>0</formula1>
      <formula2>100000</formula2>
    </dataValidation>
    <dataValidation type="decimal" errorStyle="warning" allowBlank="1" showInputMessage="1" showErrorMessage="1" errorTitle="Please Check" error="Confirm that the value you have entered is correct" promptTitle="Unallocated" prompt="Adjustments to the official catches made for any special knowledge about the fishery, such as under- or over-reporting for which there is firm external evidence" sqref="C17:C20 F17:F20 I17:I20 L17:L20" xr:uid="{00000000-0002-0000-0200-000002000000}">
      <formula1>-100000</formula1>
      <formula2>100000</formula2>
    </dataValidation>
    <dataValidation type="whole" errorStyle="warning" allowBlank="1" showErrorMessage="1" errorTitle="Warning" error="Dodgy values please check!" promptTitle="Landings" prompt="Official landings should be less than 100,000t" sqref="N17:P21" xr:uid="{00000000-0002-0000-0200-000003000000}">
      <formula1>0</formula1>
      <formula2>100000</formula2>
    </dataValidation>
  </dataValidations>
  <pageMargins left="0.63" right="0.78740157499999996" top="0.74" bottom="0.984251969" header="0.5" footer="0.5"/>
  <pageSetup paperSize="9" scale="13" orientation="portrait" horizontalDpi="300" verticalDpi="300"/>
  <headerFooter alignWithMargins="0">
    <oddFooter>&amp;C&amp;9&amp;D   &amp;T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0070C0"/>
    <pageSetUpPr fitToPage="1"/>
  </sheetPr>
  <dimension ref="A1:AB17"/>
  <sheetViews>
    <sheetView zoomScaleNormal="100" workbookViewId="0">
      <selection activeCell="B5" sqref="B5:D5"/>
    </sheetView>
  </sheetViews>
  <sheetFormatPr defaultColWidth="8.7265625" defaultRowHeight="24.75" customHeight="1"/>
  <cols>
    <col min="1" max="1" width="43.81640625" customWidth="1"/>
    <col min="2" max="21" width="8" customWidth="1"/>
    <col min="22" max="22" width="11.7265625" customWidth="1"/>
    <col min="23" max="23" width="6.7265625" customWidth="1"/>
    <col min="24" max="24" width="8.7265625" customWidth="1"/>
    <col min="25" max="25" width="6.7265625" customWidth="1"/>
    <col min="26" max="26" width="8.7265625" customWidth="1"/>
    <col min="27" max="27" width="12.26953125" customWidth="1"/>
    <col min="28" max="29" width="8.7265625" customWidth="1"/>
  </cols>
  <sheetData>
    <row r="1" spans="1:28" s="7" customFormat="1" ht="19.5" customHeight="1">
      <c r="A1" s="34" t="s">
        <v>19</v>
      </c>
      <c r="B1" s="11"/>
      <c r="C1" s="11"/>
      <c r="D1" s="11"/>
      <c r="E1" s="11"/>
      <c r="F1" s="6"/>
      <c r="G1" s="6"/>
      <c r="H1" s="6"/>
      <c r="I1" s="6"/>
      <c r="J1" s="6"/>
      <c r="K1" s="6"/>
      <c r="L1" s="6"/>
      <c r="M1" s="6"/>
      <c r="N1" s="6"/>
      <c r="O1" s="6"/>
      <c r="P1" s="6"/>
      <c r="Q1" s="6"/>
      <c r="R1" s="6"/>
      <c r="S1" s="6"/>
      <c r="T1" s="6"/>
      <c r="U1" s="6"/>
      <c r="V1" s="6"/>
      <c r="W1" s="6"/>
      <c r="X1" s="6"/>
      <c r="Y1" s="6"/>
    </row>
    <row r="2" spans="1:28" s="7" customFormat="1" ht="19.5" customHeight="1">
      <c r="A2" s="202"/>
      <c r="B2" s="6"/>
      <c r="C2" s="6"/>
      <c r="D2" s="6"/>
      <c r="E2" s="221"/>
      <c r="F2" s="6"/>
      <c r="G2" s="6"/>
      <c r="H2" s="6"/>
      <c r="I2" s="6"/>
      <c r="J2" s="6"/>
      <c r="K2" s="6"/>
      <c r="L2" s="6"/>
      <c r="M2" s="6"/>
      <c r="N2" s="6"/>
      <c r="O2" s="6"/>
      <c r="P2" s="6"/>
      <c r="Q2" s="6"/>
      <c r="R2" s="6"/>
      <c r="S2" s="6"/>
      <c r="T2" s="6"/>
      <c r="U2" s="6"/>
      <c r="V2" s="6"/>
      <c r="W2" s="6"/>
      <c r="X2" s="6"/>
      <c r="Y2" s="6"/>
    </row>
    <row r="3" spans="1:28" s="7" customFormat="1" ht="19.5" customHeight="1">
      <c r="A3" s="346" t="s">
        <v>135</v>
      </c>
      <c r="B3" s="377" t="str">
        <f>'START HERE'!F6</f>
        <v>Korea</v>
      </c>
      <c r="C3" s="377"/>
      <c r="D3" s="377"/>
      <c r="E3" s="221"/>
      <c r="F3" s="155" t="s">
        <v>35</v>
      </c>
      <c r="G3" s="156"/>
      <c r="H3" s="157"/>
      <c r="I3" s="157"/>
      <c r="J3" s="157"/>
      <c r="K3" s="157"/>
      <c r="L3" s="157"/>
      <c r="M3" s="157"/>
      <c r="N3" s="157"/>
      <c r="O3" s="157"/>
      <c r="P3" s="157"/>
      <c r="Q3" s="157"/>
      <c r="R3" s="157"/>
      <c r="S3" s="158"/>
      <c r="T3" s="221"/>
      <c r="U3" s="230"/>
      <c r="V3" s="231"/>
      <c r="W3" s="221"/>
      <c r="X3" s="92"/>
      <c r="Y3" s="92"/>
      <c r="Z3" s="92"/>
    </row>
    <row r="4" spans="1:28" s="7" customFormat="1" ht="19.5" customHeight="1">
      <c r="A4" s="12" t="s">
        <v>22</v>
      </c>
      <c r="B4" s="377" t="str">
        <f>'START HERE'!F5</f>
        <v>Jack mackerel</v>
      </c>
      <c r="C4" s="377"/>
      <c r="D4" s="377"/>
      <c r="E4" s="221"/>
      <c r="F4" s="167" t="s">
        <v>17</v>
      </c>
      <c r="G4" s="159"/>
      <c r="H4" s="160"/>
      <c r="I4" s="160"/>
      <c r="J4" s="160"/>
      <c r="K4" s="160"/>
      <c r="L4" s="160"/>
      <c r="M4" s="160"/>
      <c r="N4" s="160"/>
      <c r="O4" s="160"/>
      <c r="P4" s="160"/>
      <c r="Q4" s="160"/>
      <c r="R4" s="160"/>
      <c r="S4" s="161"/>
      <c r="T4" s="221"/>
      <c r="U4" s="230"/>
      <c r="V4" s="231"/>
      <c r="W4" s="221"/>
      <c r="X4" s="92"/>
      <c r="Y4" s="92"/>
      <c r="Z4" s="92"/>
    </row>
    <row r="5" spans="1:28" s="7" customFormat="1" ht="19.5" customHeight="1">
      <c r="A5" s="12" t="s">
        <v>15</v>
      </c>
      <c r="B5" s="378">
        <f>'START HERE'!K3</f>
        <v>2018</v>
      </c>
      <c r="C5" s="378"/>
      <c r="D5" s="378"/>
      <c r="E5" s="93"/>
      <c r="F5" s="41"/>
      <c r="G5" s="41"/>
      <c r="H5" s="41"/>
      <c r="I5" s="41"/>
      <c r="J5" s="41"/>
      <c r="K5" s="41"/>
      <c r="L5" s="41"/>
      <c r="M5" s="41"/>
      <c r="N5" s="41"/>
      <c r="O5" s="41"/>
      <c r="P5" s="41"/>
      <c r="Q5" s="41"/>
      <c r="R5" s="41"/>
      <c r="S5" s="41"/>
      <c r="T5" s="41"/>
      <c r="U5" s="41"/>
      <c r="V5" s="6"/>
      <c r="W5" s="6"/>
      <c r="X5" s="6"/>
      <c r="Y5" s="6"/>
    </row>
    <row r="6" spans="1:28" s="7" customFormat="1" ht="19.5" customHeight="1">
      <c r="A6" s="35" t="s">
        <v>16</v>
      </c>
      <c r="B6" s="379">
        <f>'START HERE'!F8</f>
        <v>42252</v>
      </c>
      <c r="C6" s="379"/>
      <c r="D6" s="379"/>
      <c r="E6" s="93"/>
      <c r="F6" s="41"/>
      <c r="G6" s="41"/>
      <c r="H6" s="41"/>
      <c r="I6" s="41"/>
      <c r="J6" s="41"/>
      <c r="K6" s="41"/>
      <c r="L6" s="41"/>
      <c r="M6" s="41"/>
      <c r="N6" s="41"/>
      <c r="O6" s="41"/>
      <c r="P6" s="41"/>
      <c r="Q6" s="41"/>
      <c r="R6" s="41"/>
      <c r="S6" s="41"/>
      <c r="T6" s="41"/>
      <c r="U6" s="41"/>
      <c r="V6" s="6"/>
      <c r="W6" s="6"/>
      <c r="X6" s="6"/>
      <c r="Y6" s="6"/>
    </row>
    <row r="7" spans="1:28" ht="9.75" customHeight="1" thickBot="1">
      <c r="A7" s="4"/>
      <c r="B7" s="4"/>
      <c r="C7" s="4"/>
      <c r="D7" s="4"/>
      <c r="E7" s="4"/>
      <c r="F7" s="4"/>
      <c r="G7" s="4"/>
      <c r="H7" s="4"/>
      <c r="I7" s="4"/>
      <c r="J7" s="4"/>
      <c r="K7" s="4"/>
      <c r="L7" s="4"/>
      <c r="M7" s="4"/>
      <c r="N7" s="4"/>
      <c r="O7" s="4"/>
      <c r="P7" s="4"/>
      <c r="Q7" s="4"/>
      <c r="R7" s="4"/>
      <c r="S7" s="4"/>
      <c r="T7" s="4"/>
      <c r="U7" s="4"/>
      <c r="V7" s="4"/>
      <c r="W7" s="4"/>
      <c r="X7" s="4"/>
      <c r="Y7" s="4"/>
    </row>
    <row r="8" spans="1:28" s="10" customFormat="1" ht="24.75" customHeight="1" thickBot="1">
      <c r="A8" s="184"/>
      <c r="B8" s="382" t="s">
        <v>61</v>
      </c>
      <c r="C8" s="383"/>
      <c r="D8" s="383"/>
      <c r="E8" s="238">
        <f>'START HERE'!K3</f>
        <v>2018</v>
      </c>
      <c r="F8" s="382" t="s">
        <v>37</v>
      </c>
      <c r="G8" s="383"/>
      <c r="H8" s="383"/>
      <c r="I8" s="238">
        <f>'START HERE'!K3</f>
        <v>2018</v>
      </c>
      <c r="J8" s="382" t="s">
        <v>38</v>
      </c>
      <c r="K8" s="383"/>
      <c r="L8" s="383"/>
      <c r="M8" s="238">
        <f>'START HERE'!K3</f>
        <v>2018</v>
      </c>
      <c r="N8" s="236" t="s">
        <v>39</v>
      </c>
      <c r="O8" s="237"/>
      <c r="P8" s="237"/>
      <c r="Q8" s="238">
        <f>'START HERE'!K3</f>
        <v>2018</v>
      </c>
      <c r="R8" s="382" t="s">
        <v>40</v>
      </c>
      <c r="S8" s="383"/>
      <c r="T8" s="383"/>
      <c r="U8" s="238">
        <f>'START HERE'!K3</f>
        <v>2018</v>
      </c>
      <c r="V8" s="239"/>
      <c r="W8" s="380"/>
      <c r="X8" s="380"/>
      <c r="Y8" s="380"/>
    </row>
    <row r="9" spans="1:28" s="55" customFormat="1" ht="23">
      <c r="A9" s="232"/>
      <c r="B9" s="52" t="s">
        <v>131</v>
      </c>
      <c r="C9" s="53" t="s">
        <v>41</v>
      </c>
      <c r="D9" s="53" t="s">
        <v>42</v>
      </c>
      <c r="E9" s="54" t="s">
        <v>43</v>
      </c>
      <c r="F9" s="52" t="s">
        <v>131</v>
      </c>
      <c r="G9" s="53" t="s">
        <v>41</v>
      </c>
      <c r="H9" s="53" t="s">
        <v>42</v>
      </c>
      <c r="I9" s="54" t="s">
        <v>43</v>
      </c>
      <c r="J9" s="52" t="s">
        <v>131</v>
      </c>
      <c r="K9" s="53" t="s">
        <v>41</v>
      </c>
      <c r="L9" s="53" t="s">
        <v>42</v>
      </c>
      <c r="M9" s="54" t="s">
        <v>43</v>
      </c>
      <c r="N9" s="52" t="s">
        <v>131</v>
      </c>
      <c r="O9" s="53" t="s">
        <v>41</v>
      </c>
      <c r="P9" s="53" t="s">
        <v>42</v>
      </c>
      <c r="Q9" s="54" t="s">
        <v>43</v>
      </c>
      <c r="R9" s="52" t="s">
        <v>131</v>
      </c>
      <c r="S9" s="53" t="s">
        <v>41</v>
      </c>
      <c r="T9" s="53" t="s">
        <v>42</v>
      </c>
      <c r="U9" s="54" t="s">
        <v>43</v>
      </c>
      <c r="V9" s="240"/>
      <c r="W9" s="381"/>
      <c r="X9" s="381"/>
      <c r="Y9" s="381"/>
      <c r="Z9" s="168"/>
    </row>
    <row r="10" spans="1:28" s="7" customFormat="1" ht="18" customHeight="1" thickBot="1">
      <c r="A10" s="233" t="s">
        <v>138</v>
      </c>
      <c r="B10" s="56" t="s">
        <v>18</v>
      </c>
      <c r="C10" s="57" t="s">
        <v>44</v>
      </c>
      <c r="D10" s="57" t="s">
        <v>44</v>
      </c>
      <c r="E10" s="58" t="s">
        <v>44</v>
      </c>
      <c r="F10" s="56" t="s">
        <v>18</v>
      </c>
      <c r="G10" s="57" t="s">
        <v>44</v>
      </c>
      <c r="H10" s="57" t="s">
        <v>44</v>
      </c>
      <c r="I10" s="58" t="s">
        <v>44</v>
      </c>
      <c r="J10" s="56" t="s">
        <v>18</v>
      </c>
      <c r="K10" s="57" t="s">
        <v>44</v>
      </c>
      <c r="L10" s="57" t="s">
        <v>44</v>
      </c>
      <c r="M10" s="58" t="s">
        <v>44</v>
      </c>
      <c r="N10" s="56" t="s">
        <v>18</v>
      </c>
      <c r="O10" s="57" t="s">
        <v>44</v>
      </c>
      <c r="P10" s="57" t="s">
        <v>44</v>
      </c>
      <c r="Q10" s="58" t="s">
        <v>44</v>
      </c>
      <c r="R10" s="59" t="s">
        <v>18</v>
      </c>
      <c r="S10" s="60" t="s">
        <v>44</v>
      </c>
      <c r="T10" s="60" t="s">
        <v>44</v>
      </c>
      <c r="U10" s="61" t="s">
        <v>44</v>
      </c>
      <c r="V10" s="221"/>
      <c r="W10" s="221"/>
      <c r="X10" s="221"/>
      <c r="Y10" s="221"/>
    </row>
    <row r="11" spans="1:28" s="7" customFormat="1" ht="24.75" customHeight="1">
      <c r="A11" s="234" t="s">
        <v>86</v>
      </c>
      <c r="B11" s="66"/>
      <c r="C11" s="76"/>
      <c r="D11" s="76"/>
      <c r="E11" s="77"/>
      <c r="F11" s="66"/>
      <c r="G11" s="76"/>
      <c r="H11" s="76"/>
      <c r="I11" s="77"/>
      <c r="J11" s="66"/>
      <c r="K11" s="62"/>
      <c r="L11" s="62"/>
      <c r="M11" s="63"/>
      <c r="N11" s="66"/>
      <c r="O11" s="76"/>
      <c r="P11" s="76"/>
      <c r="Q11" s="77"/>
      <c r="R11" s="69">
        <f t="shared" ref="R11:U14" si="0">SUM(N11,J11,F11,B11)</f>
        <v>0</v>
      </c>
      <c r="S11" s="70">
        <f t="shared" si="0"/>
        <v>0</v>
      </c>
      <c r="T11" s="70">
        <f t="shared" si="0"/>
        <v>0</v>
      </c>
      <c r="U11" s="71">
        <f t="shared" si="0"/>
        <v>0</v>
      </c>
      <c r="V11" s="241"/>
      <c r="W11" s="221"/>
      <c r="X11" s="221"/>
      <c r="Y11" s="221"/>
    </row>
    <row r="12" spans="1:28" s="7" customFormat="1" ht="24.75" customHeight="1">
      <c r="A12" s="234" t="s">
        <v>87</v>
      </c>
      <c r="B12" s="67"/>
      <c r="C12" s="78"/>
      <c r="D12" s="78"/>
      <c r="E12" s="79"/>
      <c r="F12" s="67"/>
      <c r="G12" s="78"/>
      <c r="H12" s="78"/>
      <c r="I12" s="79"/>
      <c r="J12" s="67"/>
      <c r="K12" s="64"/>
      <c r="L12" s="64"/>
      <c r="M12" s="65"/>
      <c r="N12" s="67"/>
      <c r="O12" s="78"/>
      <c r="P12" s="78"/>
      <c r="Q12" s="79"/>
      <c r="R12" s="69">
        <f t="shared" si="0"/>
        <v>0</v>
      </c>
      <c r="S12" s="72">
        <f t="shared" si="0"/>
        <v>0</v>
      </c>
      <c r="T12" s="72">
        <f t="shared" si="0"/>
        <v>0</v>
      </c>
      <c r="U12" s="73">
        <f t="shared" si="0"/>
        <v>0</v>
      </c>
      <c r="V12" s="241"/>
      <c r="W12" s="221"/>
      <c r="X12" s="221"/>
      <c r="Y12" s="221"/>
      <c r="AA12" s="168"/>
      <c r="AB12" s="168"/>
    </row>
    <row r="13" spans="1:28" s="7" customFormat="1" ht="24.75" customHeight="1">
      <c r="A13" s="234" t="s">
        <v>88</v>
      </c>
      <c r="B13" s="67"/>
      <c r="C13" s="78"/>
      <c r="D13" s="78"/>
      <c r="E13" s="79"/>
      <c r="F13" s="67"/>
      <c r="G13" s="78"/>
      <c r="H13" s="78"/>
      <c r="I13" s="79"/>
      <c r="J13" s="67"/>
      <c r="K13" s="64"/>
      <c r="L13" s="64"/>
      <c r="M13" s="65"/>
      <c r="N13" s="67"/>
      <c r="O13" s="78"/>
      <c r="P13" s="78"/>
      <c r="Q13" s="79"/>
      <c r="R13" s="69">
        <f t="shared" si="0"/>
        <v>0</v>
      </c>
      <c r="S13" s="72">
        <f t="shared" si="0"/>
        <v>0</v>
      </c>
      <c r="T13" s="72">
        <f t="shared" si="0"/>
        <v>0</v>
      </c>
      <c r="U13" s="73">
        <f t="shared" si="0"/>
        <v>0</v>
      </c>
      <c r="V13" s="241"/>
      <c r="W13" s="221"/>
      <c r="X13" s="221"/>
      <c r="Y13" s="221"/>
    </row>
    <row r="14" spans="1:28" s="7" customFormat="1" ht="24.75" customHeight="1" thickBot="1">
      <c r="A14" s="234" t="s">
        <v>89</v>
      </c>
      <c r="B14" s="67"/>
      <c r="C14" s="78"/>
      <c r="D14" s="78"/>
      <c r="E14" s="79"/>
      <c r="F14" s="364"/>
      <c r="G14" s="78">
        <v>30</v>
      </c>
      <c r="H14" s="78">
        <v>30</v>
      </c>
      <c r="I14" s="79"/>
      <c r="J14" s="67"/>
      <c r="K14" s="64">
        <v>728</v>
      </c>
      <c r="L14" s="64">
        <v>728</v>
      </c>
      <c r="M14" s="65"/>
      <c r="N14" s="67"/>
      <c r="O14" s="78">
        <v>1810</v>
      </c>
      <c r="P14" s="78">
        <v>1810</v>
      </c>
      <c r="Q14" s="79"/>
      <c r="R14" s="69">
        <f t="shared" si="0"/>
        <v>0</v>
      </c>
      <c r="S14" s="72">
        <f t="shared" si="0"/>
        <v>2568</v>
      </c>
      <c r="T14" s="72">
        <f t="shared" si="0"/>
        <v>2568</v>
      </c>
      <c r="U14" s="73">
        <f t="shared" si="0"/>
        <v>0</v>
      </c>
      <c r="V14" s="241"/>
      <c r="W14" s="221"/>
      <c r="X14" s="221"/>
      <c r="Y14" s="221"/>
    </row>
    <row r="15" spans="1:28" s="7" customFormat="1" ht="24.75" customHeight="1" thickBot="1">
      <c r="A15" s="235" t="s">
        <v>57</v>
      </c>
      <c r="B15" s="68">
        <f t="shared" ref="B15:Q15" si="1">SUM(B11:B14)</f>
        <v>0</v>
      </c>
      <c r="C15" s="74">
        <f t="shared" si="1"/>
        <v>0</v>
      </c>
      <c r="D15" s="74">
        <f t="shared" si="1"/>
        <v>0</v>
      </c>
      <c r="E15" s="75">
        <f t="shared" si="1"/>
        <v>0</v>
      </c>
      <c r="F15" s="68">
        <f t="shared" si="1"/>
        <v>0</v>
      </c>
      <c r="G15" s="74">
        <f t="shared" si="1"/>
        <v>30</v>
      </c>
      <c r="H15" s="74">
        <f t="shared" si="1"/>
        <v>30</v>
      </c>
      <c r="I15" s="75">
        <f t="shared" si="1"/>
        <v>0</v>
      </c>
      <c r="J15" s="68">
        <f t="shared" si="1"/>
        <v>0</v>
      </c>
      <c r="K15" s="74">
        <f t="shared" si="1"/>
        <v>728</v>
      </c>
      <c r="L15" s="74">
        <f t="shared" si="1"/>
        <v>728</v>
      </c>
      <c r="M15" s="75">
        <f t="shared" si="1"/>
        <v>0</v>
      </c>
      <c r="N15" s="68">
        <f t="shared" si="1"/>
        <v>0</v>
      </c>
      <c r="O15" s="74">
        <f t="shared" si="1"/>
        <v>1810</v>
      </c>
      <c r="P15" s="74">
        <f t="shared" si="1"/>
        <v>1810</v>
      </c>
      <c r="Q15" s="75">
        <f t="shared" si="1"/>
        <v>0</v>
      </c>
      <c r="R15" s="68">
        <f>SUM(N15,J15,F15,B15)</f>
        <v>0</v>
      </c>
      <c r="S15" s="183">
        <f>SUM(S11:S14)</f>
        <v>2568</v>
      </c>
      <c r="T15" s="74">
        <f>SUM(T11:T14)</f>
        <v>2568</v>
      </c>
      <c r="U15" s="75">
        <f>SUM(U11:U14)</f>
        <v>0</v>
      </c>
      <c r="V15" s="221"/>
      <c r="W15" s="221"/>
      <c r="X15" s="221"/>
      <c r="Y15" s="221"/>
    </row>
    <row r="16" spans="1:28" ht="24.75" customHeight="1">
      <c r="A16" s="222"/>
      <c r="B16" s="222"/>
      <c r="C16" s="222"/>
      <c r="D16" s="222"/>
      <c r="E16" s="222"/>
      <c r="F16" s="222"/>
      <c r="G16" s="222"/>
      <c r="H16" s="222"/>
      <c r="I16" s="222"/>
      <c r="J16" s="222"/>
      <c r="K16" s="222"/>
      <c r="L16" s="222"/>
      <c r="M16" s="222"/>
      <c r="N16" s="222"/>
      <c r="O16" s="222"/>
      <c r="P16" s="222"/>
      <c r="Q16" s="222"/>
      <c r="R16" s="222"/>
      <c r="S16" s="222"/>
      <c r="T16" s="222"/>
      <c r="U16" s="222"/>
      <c r="V16" s="222"/>
      <c r="W16" s="222"/>
      <c r="X16" s="222"/>
      <c r="Y16" s="222"/>
    </row>
    <row r="17" spans="1:25" ht="24.75" customHeight="1">
      <c r="A17" s="222"/>
      <c r="B17" s="222"/>
      <c r="C17" s="222"/>
      <c r="D17" s="222"/>
      <c r="E17" s="222"/>
      <c r="F17" s="222"/>
      <c r="G17" s="222"/>
      <c r="H17" s="222"/>
      <c r="I17" s="222"/>
      <c r="J17" s="222"/>
      <c r="K17" s="222"/>
      <c r="L17" s="222"/>
      <c r="M17" s="222"/>
      <c r="N17" s="222"/>
      <c r="O17" s="222"/>
      <c r="P17" s="222"/>
      <c r="Q17" s="222"/>
      <c r="R17" s="222"/>
      <c r="S17" s="222"/>
      <c r="T17" s="222"/>
      <c r="U17" s="222"/>
      <c r="V17" s="222"/>
      <c r="W17" s="222"/>
      <c r="X17" s="222"/>
      <c r="Y17" s="222"/>
    </row>
  </sheetData>
  <customSheetViews>
    <customSheetView guid="{F7B13B60-EB30-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8D6CC890-E1B2-11D1-AFFF-0080C7F9B91E}" scale="75" fitToPage="1" showRuler="0">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30CB6B41-EBE9-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s>
  <mergeCells count="10">
    <mergeCell ref="W9:Y9"/>
    <mergeCell ref="R8:T8"/>
    <mergeCell ref="B8:D8"/>
    <mergeCell ref="F8:H8"/>
    <mergeCell ref="J8:L8"/>
    <mergeCell ref="B3:D3"/>
    <mergeCell ref="B4:D4"/>
    <mergeCell ref="B5:D5"/>
    <mergeCell ref="B6:D6"/>
    <mergeCell ref="W8:Y8"/>
  </mergeCells>
  <phoneticPr fontId="0" type="noConversion"/>
  <pageMargins left="0.53" right="0.69" top="0.56000000000000005" bottom="0.984251969" header="0.41" footer="0.5"/>
  <pageSetup paperSize="9" scale="64" orientation="landscape" horizontalDpi="300" verticalDpi="300"/>
  <headerFooter alignWithMargins="0">
    <oddFooter>&amp;C&amp;9&amp;D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dimension ref="A1:I114"/>
  <sheetViews>
    <sheetView workbookViewId="0">
      <pane ySplit="9" topLeftCell="A10" activePane="bottomLeft" state="frozen"/>
      <selection pane="bottomLeft" activeCell="J22" sqref="J22"/>
    </sheetView>
  </sheetViews>
  <sheetFormatPr defaultColWidth="11.54296875" defaultRowHeight="12.5"/>
  <cols>
    <col min="1" max="1" width="15.7265625" style="1" customWidth="1"/>
    <col min="2" max="2" width="11.81640625" style="1" customWidth="1"/>
    <col min="3" max="8" width="11.81640625" customWidth="1"/>
  </cols>
  <sheetData>
    <row r="1" spans="1:9" s="7" customFormat="1" ht="19.5" customHeight="1">
      <c r="A1" s="34" t="s">
        <v>145</v>
      </c>
      <c r="B1" s="6"/>
      <c r="C1" s="4"/>
      <c r="D1" s="6"/>
      <c r="E1" s="6"/>
      <c r="F1" s="6"/>
      <c r="G1" s="6"/>
      <c r="H1" s="6"/>
      <c r="I1" s="6"/>
    </row>
    <row r="2" spans="1:9" s="7" customFormat="1" ht="19.5" customHeight="1" thickBot="1">
      <c r="A2" s="350" t="s">
        <v>146</v>
      </c>
      <c r="B2" s="6"/>
      <c r="C2" s="11"/>
      <c r="D2" s="6"/>
      <c r="E2" s="6"/>
      <c r="F2" s="6"/>
      <c r="G2" s="6"/>
      <c r="H2" s="6"/>
      <c r="I2" s="6"/>
    </row>
    <row r="3" spans="1:9" s="7" customFormat="1" ht="18" customHeight="1" thickBot="1">
      <c r="A3" s="346" t="s">
        <v>135</v>
      </c>
      <c r="B3" s="389" t="str">
        <f>'START HERE'!F6</f>
        <v>Korea</v>
      </c>
      <c r="C3" s="390"/>
      <c r="D3" s="6"/>
      <c r="E3" s="31" t="s">
        <v>45</v>
      </c>
      <c r="F3" s="386" t="s">
        <v>97</v>
      </c>
      <c r="G3" s="387"/>
      <c r="H3" s="388"/>
      <c r="I3" s="36"/>
    </row>
    <row r="4" spans="1:9" s="7" customFormat="1" ht="18" customHeight="1">
      <c r="A4" s="12" t="s">
        <v>22</v>
      </c>
      <c r="B4" s="389" t="str">
        <f>'START HERE'!F5</f>
        <v>Jack mackerel</v>
      </c>
      <c r="C4" s="390"/>
      <c r="D4" s="26"/>
      <c r="E4" s="13"/>
      <c r="F4" s="83"/>
      <c r="G4" s="200"/>
      <c r="H4" s="84"/>
      <c r="I4" s="36"/>
    </row>
    <row r="5" spans="1:9" s="7" customFormat="1" ht="18" customHeight="1">
      <c r="A5" s="12" t="s">
        <v>15</v>
      </c>
      <c r="B5" s="143">
        <f>'START HERE'!$K$3</f>
        <v>2018</v>
      </c>
      <c r="C5" s="337"/>
      <c r="D5" s="6"/>
      <c r="E5" s="35" t="s">
        <v>46</v>
      </c>
      <c r="F5" s="85" t="s">
        <v>133</v>
      </c>
      <c r="G5" s="198"/>
      <c r="H5" s="86"/>
      <c r="I5" s="36"/>
    </row>
    <row r="6" spans="1:9" s="7" customFormat="1" ht="18" customHeight="1" thickBot="1">
      <c r="A6" s="12"/>
      <c r="B6" s="81"/>
      <c r="C6" s="82"/>
      <c r="D6" s="6"/>
      <c r="E6" s="35" t="s">
        <v>16</v>
      </c>
      <c r="F6" s="384">
        <f>'START HERE'!$F8</f>
        <v>42252</v>
      </c>
      <c r="G6" s="385"/>
      <c r="H6" s="150"/>
      <c r="I6" s="36"/>
    </row>
    <row r="7" spans="1:9" s="7" customFormat="1" ht="9.75" customHeight="1">
      <c r="A7" s="6"/>
      <c r="B7" s="6"/>
      <c r="C7" s="6"/>
      <c r="D7" s="6"/>
      <c r="E7" s="6"/>
      <c r="F7" s="6"/>
      <c r="G7" s="6"/>
      <c r="H7" s="6"/>
      <c r="I7" s="6"/>
    </row>
    <row r="8" spans="1:9" ht="18" customHeight="1">
      <c r="A8" s="27" t="s">
        <v>92</v>
      </c>
      <c r="B8" s="27" t="s">
        <v>60</v>
      </c>
      <c r="C8" s="27" t="s">
        <v>37</v>
      </c>
      <c r="D8" s="27" t="s">
        <v>38</v>
      </c>
      <c r="E8" s="27" t="s">
        <v>39</v>
      </c>
      <c r="F8" s="27" t="s">
        <v>48</v>
      </c>
      <c r="G8" s="4"/>
      <c r="H8" s="222"/>
      <c r="I8" s="222"/>
    </row>
    <row r="9" spans="1:9" ht="18">
      <c r="A9" s="28" t="s">
        <v>49</v>
      </c>
      <c r="B9" s="228">
        <f>'START HERE'!$K$3</f>
        <v>2018</v>
      </c>
      <c r="C9" s="228">
        <f>'START HERE'!$K$3</f>
        <v>2018</v>
      </c>
      <c r="D9" s="228">
        <f>'START HERE'!$K$3</f>
        <v>2018</v>
      </c>
      <c r="E9" s="228">
        <f>'START HERE'!$K$3</f>
        <v>2018</v>
      </c>
      <c r="F9" s="227">
        <f>'START HERE'!$K$3</f>
        <v>2018</v>
      </c>
      <c r="G9" s="4"/>
      <c r="H9" s="222"/>
      <c r="I9" s="222"/>
    </row>
    <row r="10" spans="1:9">
      <c r="A10" s="187">
        <v>1</v>
      </c>
      <c r="B10" s="38"/>
      <c r="C10" s="39"/>
      <c r="D10" s="39"/>
      <c r="E10" s="39"/>
      <c r="F10" s="37">
        <f t="shared" ref="F10:F15" si="0">SUM(B10:E10)</f>
        <v>0</v>
      </c>
      <c r="G10" s="4"/>
      <c r="H10" s="222"/>
      <c r="I10" s="222"/>
    </row>
    <row r="11" spans="1:9">
      <c r="A11" s="187">
        <v>2</v>
      </c>
      <c r="B11" s="38"/>
      <c r="C11" s="39"/>
      <c r="D11" s="39"/>
      <c r="E11" s="39"/>
      <c r="F11" s="37">
        <f t="shared" si="0"/>
        <v>0</v>
      </c>
      <c r="G11" s="4"/>
      <c r="H11" s="222"/>
      <c r="I11" s="222"/>
    </row>
    <row r="12" spans="1:9">
      <c r="A12" s="187">
        <v>3</v>
      </c>
      <c r="B12" s="38"/>
      <c r="C12" s="39"/>
      <c r="D12" s="39"/>
      <c r="E12" s="39"/>
      <c r="F12" s="37">
        <f t="shared" si="0"/>
        <v>0</v>
      </c>
      <c r="G12" s="4"/>
      <c r="H12" s="222"/>
      <c r="I12" s="222"/>
    </row>
    <row r="13" spans="1:9">
      <c r="A13" s="187">
        <v>4</v>
      </c>
      <c r="B13" s="38"/>
      <c r="C13" s="39"/>
      <c r="D13" s="39"/>
      <c r="E13" s="39"/>
      <c r="F13" s="37">
        <f t="shared" si="0"/>
        <v>0</v>
      </c>
      <c r="G13" s="4"/>
      <c r="H13" s="222"/>
      <c r="I13" s="222"/>
    </row>
    <row r="14" spans="1:9">
      <c r="A14" s="187">
        <v>5</v>
      </c>
      <c r="B14" s="38"/>
      <c r="C14" s="39"/>
      <c r="D14" s="39"/>
      <c r="E14" s="39"/>
      <c r="F14" s="37">
        <f t="shared" si="0"/>
        <v>0</v>
      </c>
      <c r="G14" s="4"/>
      <c r="H14" s="222"/>
      <c r="I14" s="222"/>
    </row>
    <row r="15" spans="1:9">
      <c r="A15" s="187">
        <v>6</v>
      </c>
      <c r="B15" s="38"/>
      <c r="C15" s="39"/>
      <c r="D15" s="39"/>
      <c r="E15" s="39"/>
      <c r="F15" s="37">
        <f t="shared" si="0"/>
        <v>0</v>
      </c>
      <c r="G15" s="4"/>
      <c r="H15" s="222"/>
      <c r="I15" s="222"/>
    </row>
    <row r="16" spans="1:9">
      <c r="A16" s="187">
        <v>7</v>
      </c>
      <c r="B16" s="38"/>
      <c r="C16" s="39"/>
      <c r="D16" s="39"/>
      <c r="E16" s="39"/>
      <c r="F16" s="37">
        <f t="shared" ref="F16:F47" si="1">SUM(B16:E16)</f>
        <v>0</v>
      </c>
      <c r="G16" s="4"/>
      <c r="H16" s="222"/>
      <c r="I16" s="222"/>
    </row>
    <row r="17" spans="1:9">
      <c r="A17" s="187">
        <v>8</v>
      </c>
      <c r="B17" s="38"/>
      <c r="C17" s="39"/>
      <c r="D17" s="39"/>
      <c r="E17" s="39"/>
      <c r="F17" s="37">
        <f t="shared" si="1"/>
        <v>0</v>
      </c>
      <c r="G17" s="4"/>
      <c r="H17" s="222"/>
      <c r="I17" s="222"/>
    </row>
    <row r="18" spans="1:9">
      <c r="A18" s="187">
        <v>9</v>
      </c>
      <c r="B18" s="38"/>
      <c r="C18" s="39"/>
      <c r="D18" s="39"/>
      <c r="E18" s="39"/>
      <c r="F18" s="37">
        <f t="shared" si="1"/>
        <v>0</v>
      </c>
      <c r="G18" s="4"/>
      <c r="H18" s="222"/>
      <c r="I18" s="222"/>
    </row>
    <row r="19" spans="1:9">
      <c r="A19" s="187">
        <v>10</v>
      </c>
      <c r="B19" s="38"/>
      <c r="C19" s="39"/>
      <c r="D19" s="39"/>
      <c r="E19" s="39"/>
      <c r="F19" s="37">
        <f t="shared" si="1"/>
        <v>0</v>
      </c>
      <c r="G19" s="4"/>
      <c r="H19" s="222"/>
      <c r="I19" s="222"/>
    </row>
    <row r="20" spans="1:9">
      <c r="A20" s="187">
        <v>11</v>
      </c>
      <c r="B20" s="38"/>
      <c r="C20" s="39"/>
      <c r="D20" s="39"/>
      <c r="E20" s="39"/>
      <c r="F20" s="37">
        <f t="shared" si="1"/>
        <v>0</v>
      </c>
      <c r="G20" s="4"/>
      <c r="H20" s="222"/>
      <c r="I20" s="222"/>
    </row>
    <row r="21" spans="1:9">
      <c r="A21" s="187">
        <v>12</v>
      </c>
      <c r="B21" s="38"/>
      <c r="C21" s="39"/>
      <c r="D21" s="39"/>
      <c r="E21" s="39"/>
      <c r="F21" s="37">
        <f t="shared" si="1"/>
        <v>0</v>
      </c>
      <c r="G21" s="4"/>
      <c r="H21" s="222"/>
      <c r="I21" s="222"/>
    </row>
    <row r="22" spans="1:9">
      <c r="A22" s="187">
        <v>13</v>
      </c>
      <c r="B22" s="38"/>
      <c r="C22" s="39"/>
      <c r="D22" s="39"/>
      <c r="E22" s="39"/>
      <c r="F22" s="37">
        <f t="shared" si="1"/>
        <v>0</v>
      </c>
      <c r="G22" s="4"/>
      <c r="H22" s="222"/>
      <c r="I22" s="222"/>
    </row>
    <row r="23" spans="1:9">
      <c r="A23" s="187">
        <v>14</v>
      </c>
      <c r="B23" s="38"/>
      <c r="C23" s="39"/>
      <c r="D23" s="39"/>
      <c r="E23" s="39"/>
      <c r="F23" s="37">
        <f t="shared" si="1"/>
        <v>0</v>
      </c>
      <c r="G23" s="4"/>
      <c r="H23" s="222"/>
      <c r="I23" s="222"/>
    </row>
    <row r="24" spans="1:9">
      <c r="A24" s="187">
        <v>15</v>
      </c>
      <c r="B24" s="38"/>
      <c r="C24" s="39"/>
      <c r="D24" s="39"/>
      <c r="E24" s="39"/>
      <c r="F24" s="37">
        <f t="shared" si="1"/>
        <v>0</v>
      </c>
      <c r="G24" s="29"/>
      <c r="H24" s="222"/>
      <c r="I24" s="222"/>
    </row>
    <row r="25" spans="1:9">
      <c r="A25" s="187">
        <v>16</v>
      </c>
      <c r="B25" s="38"/>
      <c r="C25" s="39"/>
      <c r="D25" s="39"/>
      <c r="E25" s="39"/>
      <c r="F25" s="37">
        <f t="shared" si="1"/>
        <v>0</v>
      </c>
      <c r="G25" s="4"/>
      <c r="H25" s="222"/>
      <c r="I25" s="222"/>
    </row>
    <row r="26" spans="1:9">
      <c r="A26" s="187">
        <v>17</v>
      </c>
      <c r="B26" s="38"/>
      <c r="C26" s="39"/>
      <c r="D26" s="39"/>
      <c r="E26" s="39"/>
      <c r="F26" s="37">
        <f t="shared" si="1"/>
        <v>0</v>
      </c>
      <c r="G26" s="4"/>
      <c r="H26" s="222"/>
      <c r="I26" s="222"/>
    </row>
    <row r="27" spans="1:9">
      <c r="A27" s="187">
        <v>18</v>
      </c>
      <c r="B27" s="38"/>
      <c r="C27" s="39"/>
      <c r="D27" s="39"/>
      <c r="E27" s="39"/>
      <c r="F27" s="37">
        <f t="shared" si="1"/>
        <v>0</v>
      </c>
      <c r="G27" s="4"/>
      <c r="H27" s="222"/>
      <c r="I27" s="222"/>
    </row>
    <row r="28" spans="1:9">
      <c r="A28" s="187">
        <v>19</v>
      </c>
      <c r="B28" s="38"/>
      <c r="C28" s="39"/>
      <c r="D28" s="39"/>
      <c r="E28" s="39"/>
      <c r="F28" s="37">
        <f t="shared" si="1"/>
        <v>0</v>
      </c>
      <c r="G28" s="4"/>
      <c r="H28" s="222"/>
      <c r="I28" s="222"/>
    </row>
    <row r="29" spans="1:9">
      <c r="A29" s="187">
        <v>20</v>
      </c>
      <c r="B29" s="38"/>
      <c r="C29" s="39"/>
      <c r="D29" s="39"/>
      <c r="E29" s="39"/>
      <c r="F29" s="37">
        <f t="shared" si="1"/>
        <v>0</v>
      </c>
      <c r="G29" s="4"/>
      <c r="H29" s="222"/>
      <c r="I29" s="222"/>
    </row>
    <row r="30" spans="1:9">
      <c r="A30" s="187">
        <v>21</v>
      </c>
      <c r="B30" s="38"/>
      <c r="C30" s="39"/>
      <c r="D30" s="39"/>
      <c r="E30" s="39"/>
      <c r="F30" s="37">
        <f t="shared" si="1"/>
        <v>0</v>
      </c>
      <c r="G30" s="4"/>
      <c r="H30" s="222"/>
      <c r="I30" s="222"/>
    </row>
    <row r="31" spans="1:9">
      <c r="A31" s="187">
        <v>22</v>
      </c>
      <c r="B31" s="38"/>
      <c r="C31" s="39"/>
      <c r="D31" s="39"/>
      <c r="E31" s="39"/>
      <c r="F31" s="37">
        <f t="shared" si="1"/>
        <v>0</v>
      </c>
      <c r="G31" s="4"/>
      <c r="H31" s="222"/>
      <c r="I31" s="222"/>
    </row>
    <row r="32" spans="1:9">
      <c r="A32" s="187">
        <v>23</v>
      </c>
      <c r="B32" s="38"/>
      <c r="C32" s="39"/>
      <c r="D32" s="39"/>
      <c r="E32" s="39"/>
      <c r="F32" s="37">
        <f t="shared" si="1"/>
        <v>0</v>
      </c>
      <c r="G32" s="4"/>
      <c r="H32" s="222"/>
      <c r="I32" s="222"/>
    </row>
    <row r="33" spans="1:9">
      <c r="A33" s="187">
        <v>24</v>
      </c>
      <c r="B33" s="38"/>
      <c r="C33" s="39"/>
      <c r="D33" s="39"/>
      <c r="E33" s="39"/>
      <c r="F33" s="37">
        <f t="shared" si="1"/>
        <v>0</v>
      </c>
      <c r="G33" s="4"/>
      <c r="H33" s="222"/>
      <c r="I33" s="222"/>
    </row>
    <row r="34" spans="1:9">
      <c r="A34" s="187">
        <v>25</v>
      </c>
      <c r="B34" s="38"/>
      <c r="C34" s="39"/>
      <c r="D34" s="39"/>
      <c r="E34" s="39"/>
      <c r="F34" s="37">
        <f t="shared" si="1"/>
        <v>0</v>
      </c>
      <c r="G34" s="4"/>
      <c r="H34" s="222"/>
      <c r="I34" s="222"/>
    </row>
    <row r="35" spans="1:9">
      <c r="A35" s="187">
        <v>26</v>
      </c>
      <c r="B35" s="38"/>
      <c r="C35" s="39"/>
      <c r="D35" s="39"/>
      <c r="E35" s="39"/>
      <c r="F35" s="37">
        <f t="shared" si="1"/>
        <v>0</v>
      </c>
      <c r="G35" s="4"/>
      <c r="H35" s="222"/>
      <c r="I35" s="222"/>
    </row>
    <row r="36" spans="1:9">
      <c r="A36" s="187">
        <v>27</v>
      </c>
      <c r="B36" s="38"/>
      <c r="C36" s="39"/>
      <c r="D36" s="39"/>
      <c r="E36" s="39"/>
      <c r="F36" s="37">
        <f t="shared" si="1"/>
        <v>0</v>
      </c>
      <c r="G36" s="4"/>
      <c r="H36" s="222"/>
      <c r="I36" s="222"/>
    </row>
    <row r="37" spans="1:9">
      <c r="A37" s="187">
        <v>28</v>
      </c>
      <c r="B37" s="38"/>
      <c r="C37" s="39"/>
      <c r="D37" s="39"/>
      <c r="E37" s="39"/>
      <c r="F37" s="37">
        <f t="shared" si="1"/>
        <v>0</v>
      </c>
      <c r="G37" s="4"/>
      <c r="H37" s="222"/>
      <c r="I37" s="222"/>
    </row>
    <row r="38" spans="1:9">
      <c r="A38" s="187">
        <v>29</v>
      </c>
      <c r="B38" s="38"/>
      <c r="C38" s="39"/>
      <c r="D38" s="39"/>
      <c r="E38" s="39"/>
      <c r="F38" s="37">
        <f t="shared" si="1"/>
        <v>0</v>
      </c>
      <c r="G38" s="4"/>
      <c r="H38" s="222"/>
      <c r="I38" s="222"/>
    </row>
    <row r="39" spans="1:9">
      <c r="A39" s="187">
        <v>30</v>
      </c>
      <c r="B39" s="38"/>
      <c r="C39" s="39"/>
      <c r="D39" s="39"/>
      <c r="E39" s="39"/>
      <c r="F39" s="37">
        <f t="shared" si="1"/>
        <v>0</v>
      </c>
      <c r="G39" s="4"/>
      <c r="H39" s="222"/>
      <c r="I39" s="222"/>
    </row>
    <row r="40" spans="1:9">
      <c r="A40" s="187">
        <v>31</v>
      </c>
      <c r="B40" s="38"/>
      <c r="C40" s="39"/>
      <c r="D40" s="39"/>
      <c r="E40" s="39"/>
      <c r="F40" s="37">
        <f t="shared" si="1"/>
        <v>0</v>
      </c>
      <c r="G40" s="4"/>
      <c r="H40" s="222"/>
      <c r="I40" s="222"/>
    </row>
    <row r="41" spans="1:9">
      <c r="A41" s="187">
        <v>32</v>
      </c>
      <c r="B41" s="38"/>
      <c r="C41" s="39"/>
      <c r="D41" s="39"/>
      <c r="E41" s="39"/>
      <c r="F41" s="37">
        <f t="shared" si="1"/>
        <v>0</v>
      </c>
      <c r="G41" s="4"/>
      <c r="H41" s="222"/>
      <c r="I41" s="222"/>
    </row>
    <row r="42" spans="1:9">
      <c r="A42" s="187">
        <v>33</v>
      </c>
      <c r="B42" s="38"/>
      <c r="C42" s="39"/>
      <c r="D42" s="39"/>
      <c r="E42" s="39"/>
      <c r="F42" s="37">
        <f t="shared" si="1"/>
        <v>0</v>
      </c>
      <c r="G42" s="4"/>
      <c r="H42" s="222"/>
      <c r="I42" s="222"/>
    </row>
    <row r="43" spans="1:9">
      <c r="A43" s="187">
        <v>34</v>
      </c>
      <c r="B43" s="38"/>
      <c r="C43" s="39"/>
      <c r="D43" s="39"/>
      <c r="E43" s="39"/>
      <c r="F43" s="37">
        <f t="shared" si="1"/>
        <v>0</v>
      </c>
      <c r="G43" s="4"/>
      <c r="H43" s="222"/>
      <c r="I43" s="222"/>
    </row>
    <row r="44" spans="1:9">
      <c r="A44" s="187">
        <v>35</v>
      </c>
      <c r="B44" s="38"/>
      <c r="C44" s="39"/>
      <c r="D44" s="39"/>
      <c r="E44" s="39"/>
      <c r="F44" s="37">
        <f t="shared" si="1"/>
        <v>0</v>
      </c>
      <c r="G44" s="4"/>
      <c r="H44" s="222"/>
      <c r="I44" s="222"/>
    </row>
    <row r="45" spans="1:9">
      <c r="A45" s="187">
        <v>36</v>
      </c>
      <c r="B45" s="38"/>
      <c r="C45" s="39"/>
      <c r="D45" s="39"/>
      <c r="E45" s="39"/>
      <c r="F45" s="37">
        <f t="shared" si="1"/>
        <v>0</v>
      </c>
      <c r="G45" s="4"/>
      <c r="H45" s="222"/>
      <c r="I45" s="222"/>
    </row>
    <row r="46" spans="1:9">
      <c r="A46" s="187">
        <v>37</v>
      </c>
      <c r="B46" s="38"/>
      <c r="C46" s="39"/>
      <c r="D46" s="39"/>
      <c r="E46" s="39"/>
      <c r="F46" s="37">
        <f t="shared" si="1"/>
        <v>0</v>
      </c>
      <c r="G46" s="4"/>
      <c r="H46" s="222"/>
      <c r="I46" s="222"/>
    </row>
    <row r="47" spans="1:9">
      <c r="A47" s="187">
        <v>38</v>
      </c>
      <c r="B47" s="38"/>
      <c r="C47" s="39"/>
      <c r="D47" s="39"/>
      <c r="E47" s="39"/>
      <c r="F47" s="37">
        <f t="shared" si="1"/>
        <v>0</v>
      </c>
      <c r="G47" s="4"/>
      <c r="H47" s="222"/>
      <c r="I47" s="222"/>
    </row>
    <row r="48" spans="1:9">
      <c r="A48" s="187">
        <v>39</v>
      </c>
      <c r="B48" s="38"/>
      <c r="C48" s="39"/>
      <c r="D48" s="39"/>
      <c r="E48" s="39"/>
      <c r="F48" s="37">
        <f t="shared" ref="F48:F79" si="2">SUM(B48:E48)</f>
        <v>0</v>
      </c>
      <c r="G48" s="4"/>
      <c r="H48" s="222"/>
      <c r="I48" s="222"/>
    </row>
    <row r="49" spans="1:9">
      <c r="A49" s="187">
        <v>40</v>
      </c>
      <c r="B49" s="38"/>
      <c r="C49" s="39"/>
      <c r="D49" s="39"/>
      <c r="E49" s="39"/>
      <c r="F49" s="37">
        <f t="shared" si="2"/>
        <v>0</v>
      </c>
      <c r="G49" s="4"/>
      <c r="H49" s="222"/>
      <c r="I49" s="222"/>
    </row>
    <row r="50" spans="1:9">
      <c r="A50" s="187">
        <v>41</v>
      </c>
      <c r="B50" s="38"/>
      <c r="C50" s="39"/>
      <c r="D50" s="39"/>
      <c r="E50" s="39"/>
      <c r="F50" s="37">
        <f t="shared" si="2"/>
        <v>0</v>
      </c>
      <c r="G50" s="4"/>
      <c r="H50" s="222"/>
      <c r="I50" s="222"/>
    </row>
    <row r="51" spans="1:9">
      <c r="A51" s="187">
        <v>42</v>
      </c>
      <c r="B51" s="38"/>
      <c r="C51" s="39"/>
      <c r="D51" s="39"/>
      <c r="E51" s="39"/>
      <c r="F51" s="37">
        <f t="shared" si="2"/>
        <v>0</v>
      </c>
      <c r="G51" s="4"/>
      <c r="H51" s="222"/>
      <c r="I51" s="222"/>
    </row>
    <row r="52" spans="1:9">
      <c r="A52" s="187">
        <v>43</v>
      </c>
      <c r="B52" s="38"/>
      <c r="C52" s="39"/>
      <c r="D52" s="39"/>
      <c r="E52" s="39"/>
      <c r="F52" s="37">
        <f t="shared" si="2"/>
        <v>0</v>
      </c>
      <c r="G52" s="4"/>
      <c r="H52" s="222"/>
      <c r="I52" s="222"/>
    </row>
    <row r="53" spans="1:9">
      <c r="A53" s="187">
        <v>44</v>
      </c>
      <c r="B53" s="38"/>
      <c r="C53" s="39"/>
      <c r="D53" s="39"/>
      <c r="E53" s="39"/>
      <c r="F53" s="37">
        <f t="shared" si="2"/>
        <v>0</v>
      </c>
      <c r="G53" s="4"/>
      <c r="H53" s="222"/>
      <c r="I53" s="222"/>
    </row>
    <row r="54" spans="1:9">
      <c r="A54" s="187">
        <v>45</v>
      </c>
      <c r="B54" s="38"/>
      <c r="C54" s="39"/>
      <c r="D54" s="39"/>
      <c r="E54" s="39"/>
      <c r="F54" s="37">
        <f t="shared" si="2"/>
        <v>0</v>
      </c>
      <c r="G54" s="4"/>
      <c r="H54" s="222"/>
      <c r="I54" s="222"/>
    </row>
    <row r="55" spans="1:9">
      <c r="A55" s="187">
        <v>46</v>
      </c>
      <c r="B55" s="38"/>
      <c r="C55" s="39"/>
      <c r="D55" s="39"/>
      <c r="E55" s="39"/>
      <c r="F55" s="37">
        <f t="shared" si="2"/>
        <v>0</v>
      </c>
      <c r="G55" s="4"/>
      <c r="H55" s="222"/>
      <c r="I55" s="222"/>
    </row>
    <row r="56" spans="1:9">
      <c r="A56" s="187">
        <v>47</v>
      </c>
      <c r="B56" s="38"/>
      <c r="C56" s="39"/>
      <c r="D56" s="39"/>
      <c r="E56" s="39"/>
      <c r="F56" s="37">
        <f t="shared" si="2"/>
        <v>0</v>
      </c>
      <c r="G56" s="4"/>
      <c r="H56" s="222"/>
      <c r="I56" s="222"/>
    </row>
    <row r="57" spans="1:9">
      <c r="A57" s="187">
        <v>48</v>
      </c>
      <c r="B57" s="38"/>
      <c r="C57" s="39"/>
      <c r="D57" s="39"/>
      <c r="E57" s="39"/>
      <c r="F57" s="37">
        <f t="shared" si="2"/>
        <v>0</v>
      </c>
      <c r="G57" s="4"/>
      <c r="H57" s="222"/>
      <c r="I57" s="222"/>
    </row>
    <row r="58" spans="1:9">
      <c r="A58" s="187">
        <v>49</v>
      </c>
      <c r="B58" s="38"/>
      <c r="C58" s="39"/>
      <c r="D58" s="39"/>
      <c r="E58" s="39"/>
      <c r="F58" s="37">
        <f t="shared" si="2"/>
        <v>0</v>
      </c>
      <c r="G58" s="4"/>
      <c r="H58" s="222"/>
      <c r="I58" s="222"/>
    </row>
    <row r="59" spans="1:9">
      <c r="A59" s="187">
        <v>50</v>
      </c>
      <c r="B59" s="38"/>
      <c r="C59" s="39"/>
      <c r="D59" s="39"/>
      <c r="E59" s="39"/>
      <c r="F59" s="37">
        <f t="shared" si="2"/>
        <v>0</v>
      </c>
      <c r="G59" s="4"/>
      <c r="H59" s="222"/>
      <c r="I59" s="222"/>
    </row>
    <row r="60" spans="1:9">
      <c r="A60" s="187">
        <v>51</v>
      </c>
      <c r="B60" s="38"/>
      <c r="C60" s="39"/>
      <c r="D60" s="39"/>
      <c r="E60" s="39"/>
      <c r="F60" s="37">
        <f t="shared" si="2"/>
        <v>0</v>
      </c>
      <c r="G60" s="4"/>
      <c r="H60" s="222"/>
      <c r="I60" s="222"/>
    </row>
    <row r="61" spans="1:9">
      <c r="A61" s="187">
        <v>52</v>
      </c>
      <c r="B61" s="38"/>
      <c r="C61" s="39"/>
      <c r="D61" s="39"/>
      <c r="E61" s="39"/>
      <c r="F61" s="37">
        <f t="shared" si="2"/>
        <v>0</v>
      </c>
      <c r="G61" s="4"/>
      <c r="H61" s="222"/>
      <c r="I61" s="222"/>
    </row>
    <row r="62" spans="1:9">
      <c r="A62" s="187">
        <v>53</v>
      </c>
      <c r="B62" s="38"/>
      <c r="C62" s="39"/>
      <c r="D62" s="39"/>
      <c r="E62" s="39"/>
      <c r="F62" s="37">
        <f t="shared" si="2"/>
        <v>0</v>
      </c>
      <c r="G62" s="4"/>
      <c r="H62" s="222"/>
      <c r="I62" s="222"/>
    </row>
    <row r="63" spans="1:9">
      <c r="A63" s="187">
        <v>54</v>
      </c>
      <c r="B63" s="38"/>
      <c r="C63" s="39"/>
      <c r="D63" s="39"/>
      <c r="E63" s="39"/>
      <c r="F63" s="37">
        <f t="shared" si="2"/>
        <v>0</v>
      </c>
      <c r="G63" s="4"/>
      <c r="H63" s="222"/>
      <c r="I63" s="222"/>
    </row>
    <row r="64" spans="1:9">
      <c r="A64" s="187">
        <v>55</v>
      </c>
      <c r="B64" s="38"/>
      <c r="C64" s="39"/>
      <c r="D64" s="39"/>
      <c r="E64" s="39"/>
      <c r="F64" s="37">
        <f t="shared" si="2"/>
        <v>0</v>
      </c>
      <c r="G64" s="4"/>
      <c r="H64" s="222"/>
      <c r="I64" s="222"/>
    </row>
    <row r="65" spans="1:9">
      <c r="A65" s="187">
        <v>56</v>
      </c>
      <c r="B65" s="38"/>
      <c r="C65" s="39"/>
      <c r="D65" s="39"/>
      <c r="E65" s="39"/>
      <c r="F65" s="37">
        <f t="shared" si="2"/>
        <v>0</v>
      </c>
      <c r="G65" s="4"/>
      <c r="H65" s="222"/>
      <c r="I65" s="222"/>
    </row>
    <row r="66" spans="1:9">
      <c r="A66" s="187">
        <v>57</v>
      </c>
      <c r="B66" s="38"/>
      <c r="C66" s="39"/>
      <c r="D66" s="39"/>
      <c r="E66" s="39"/>
      <c r="F66" s="37">
        <f t="shared" si="2"/>
        <v>0</v>
      </c>
      <c r="G66" s="4"/>
      <c r="H66" s="222"/>
      <c r="I66" s="222"/>
    </row>
    <row r="67" spans="1:9">
      <c r="A67" s="187">
        <v>58</v>
      </c>
      <c r="B67" s="38"/>
      <c r="C67" s="39"/>
      <c r="D67" s="39"/>
      <c r="E67" s="39"/>
      <c r="F67" s="37">
        <f t="shared" si="2"/>
        <v>0</v>
      </c>
      <c r="G67" s="4"/>
      <c r="H67" s="222"/>
      <c r="I67" s="222"/>
    </row>
    <row r="68" spans="1:9">
      <c r="A68" s="187">
        <v>59</v>
      </c>
      <c r="B68" s="38"/>
      <c r="C68" s="39"/>
      <c r="D68" s="39"/>
      <c r="E68" s="39"/>
      <c r="F68" s="37">
        <f t="shared" si="2"/>
        <v>0</v>
      </c>
      <c r="G68" s="4"/>
      <c r="H68" s="222"/>
      <c r="I68" s="222"/>
    </row>
    <row r="69" spans="1:9">
      <c r="A69" s="187">
        <v>60</v>
      </c>
      <c r="B69" s="38"/>
      <c r="C69" s="39"/>
      <c r="D69" s="39"/>
      <c r="E69" s="39"/>
      <c r="F69" s="37">
        <f t="shared" si="2"/>
        <v>0</v>
      </c>
      <c r="G69" s="4"/>
      <c r="H69" s="222"/>
      <c r="I69" s="222"/>
    </row>
    <row r="70" spans="1:9">
      <c r="A70" s="187">
        <v>61</v>
      </c>
      <c r="B70" s="38"/>
      <c r="C70" s="39"/>
      <c r="D70" s="39"/>
      <c r="E70" s="39"/>
      <c r="F70" s="37">
        <f t="shared" si="2"/>
        <v>0</v>
      </c>
      <c r="G70" s="4"/>
      <c r="H70" s="222"/>
      <c r="I70" s="222"/>
    </row>
    <row r="71" spans="1:9">
      <c r="A71" s="187">
        <v>62</v>
      </c>
      <c r="B71" s="38"/>
      <c r="C71" s="39"/>
      <c r="D71" s="39"/>
      <c r="E71" s="39"/>
      <c r="F71" s="37">
        <f t="shared" si="2"/>
        <v>0</v>
      </c>
      <c r="G71" s="4"/>
      <c r="H71" s="222"/>
      <c r="I71" s="222"/>
    </row>
    <row r="72" spans="1:9">
      <c r="A72" s="187">
        <v>63</v>
      </c>
      <c r="B72" s="38"/>
      <c r="C72" s="39"/>
      <c r="D72" s="39"/>
      <c r="E72" s="39"/>
      <c r="F72" s="37">
        <f t="shared" si="2"/>
        <v>0</v>
      </c>
      <c r="G72" s="4"/>
      <c r="H72" s="222"/>
      <c r="I72" s="222"/>
    </row>
    <row r="73" spans="1:9">
      <c r="A73" s="187">
        <v>64</v>
      </c>
      <c r="B73" s="38"/>
      <c r="C73" s="39"/>
      <c r="D73" s="39"/>
      <c r="E73" s="39"/>
      <c r="F73" s="37">
        <f t="shared" si="2"/>
        <v>0</v>
      </c>
      <c r="G73" s="4"/>
      <c r="H73" s="222"/>
      <c r="I73" s="222"/>
    </row>
    <row r="74" spans="1:9">
      <c r="A74" s="187">
        <v>65</v>
      </c>
      <c r="B74" s="38"/>
      <c r="C74" s="39"/>
      <c r="D74" s="39"/>
      <c r="E74" s="39"/>
      <c r="F74" s="37">
        <f t="shared" si="2"/>
        <v>0</v>
      </c>
      <c r="G74" s="4"/>
      <c r="H74" s="222"/>
      <c r="I74" s="222"/>
    </row>
    <row r="75" spans="1:9">
      <c r="A75" s="187">
        <v>66</v>
      </c>
      <c r="B75" s="38"/>
      <c r="C75" s="39"/>
      <c r="D75" s="39"/>
      <c r="E75" s="39"/>
      <c r="F75" s="37">
        <f t="shared" si="2"/>
        <v>0</v>
      </c>
      <c r="G75" s="4"/>
      <c r="H75" s="222"/>
      <c r="I75" s="222"/>
    </row>
    <row r="76" spans="1:9">
      <c r="A76" s="187">
        <v>67</v>
      </c>
      <c r="B76" s="38"/>
      <c r="C76" s="39"/>
      <c r="D76" s="39"/>
      <c r="E76" s="39"/>
      <c r="F76" s="37">
        <f t="shared" si="2"/>
        <v>0</v>
      </c>
      <c r="G76" s="4"/>
      <c r="H76" s="222"/>
      <c r="I76" s="222"/>
    </row>
    <row r="77" spans="1:9">
      <c r="A77" s="187">
        <v>68</v>
      </c>
      <c r="B77" s="38"/>
      <c r="C77" s="39"/>
      <c r="D77" s="39"/>
      <c r="E77" s="39"/>
      <c r="F77" s="37">
        <f t="shared" si="2"/>
        <v>0</v>
      </c>
      <c r="G77" s="4"/>
      <c r="H77" s="222"/>
      <c r="I77" s="222"/>
    </row>
    <row r="78" spans="1:9">
      <c r="A78" s="187">
        <v>69</v>
      </c>
      <c r="B78" s="38"/>
      <c r="C78" s="39"/>
      <c r="D78" s="39"/>
      <c r="E78" s="39"/>
      <c r="F78" s="37">
        <f t="shared" si="2"/>
        <v>0</v>
      </c>
      <c r="G78" s="4"/>
      <c r="H78" s="222"/>
      <c r="I78" s="222"/>
    </row>
    <row r="79" spans="1:9">
      <c r="A79" s="187">
        <v>70</v>
      </c>
      <c r="B79" s="38"/>
      <c r="C79" s="39"/>
      <c r="D79" s="39"/>
      <c r="E79" s="39"/>
      <c r="F79" s="37">
        <f t="shared" si="2"/>
        <v>0</v>
      </c>
      <c r="G79" s="4"/>
      <c r="H79" s="222"/>
      <c r="I79" s="222"/>
    </row>
    <row r="80" spans="1:9">
      <c r="A80" s="187">
        <v>71</v>
      </c>
      <c r="B80" s="38"/>
      <c r="C80" s="39"/>
      <c r="D80" s="39"/>
      <c r="E80" s="39"/>
      <c r="F80" s="37">
        <f t="shared" ref="F80:F109" si="3">SUM(B80:E80)</f>
        <v>0</v>
      </c>
      <c r="G80" s="4"/>
      <c r="H80" s="222"/>
      <c r="I80" s="222"/>
    </row>
    <row r="81" spans="1:9">
      <c r="A81" s="187">
        <v>72</v>
      </c>
      <c r="B81" s="38"/>
      <c r="C81" s="39"/>
      <c r="D81" s="39"/>
      <c r="E81" s="39"/>
      <c r="F81" s="37">
        <f t="shared" si="3"/>
        <v>0</v>
      </c>
      <c r="G81" s="4"/>
      <c r="H81" s="222"/>
      <c r="I81" s="222"/>
    </row>
    <row r="82" spans="1:9">
      <c r="A82" s="187">
        <v>73</v>
      </c>
      <c r="B82" s="38"/>
      <c r="C82" s="39"/>
      <c r="D82" s="39"/>
      <c r="E82" s="39"/>
      <c r="F82" s="37">
        <f t="shared" si="3"/>
        <v>0</v>
      </c>
      <c r="G82" s="4"/>
      <c r="H82" s="222"/>
      <c r="I82" s="222"/>
    </row>
    <row r="83" spans="1:9">
      <c r="A83" s="187">
        <v>74</v>
      </c>
      <c r="B83" s="38"/>
      <c r="C83" s="39"/>
      <c r="D83" s="39"/>
      <c r="E83" s="39"/>
      <c r="F83" s="37">
        <f t="shared" si="3"/>
        <v>0</v>
      </c>
      <c r="G83" s="4"/>
      <c r="H83" s="222"/>
      <c r="I83" s="222"/>
    </row>
    <row r="84" spans="1:9">
      <c r="A84" s="187">
        <v>75</v>
      </c>
      <c r="B84" s="38"/>
      <c r="C84" s="39"/>
      <c r="D84" s="39"/>
      <c r="E84" s="39"/>
      <c r="F84" s="37">
        <f t="shared" si="3"/>
        <v>0</v>
      </c>
      <c r="G84" s="4"/>
      <c r="H84" s="222"/>
      <c r="I84" s="222"/>
    </row>
    <row r="85" spans="1:9">
      <c r="A85" s="187">
        <v>76</v>
      </c>
      <c r="B85" s="38"/>
      <c r="C85" s="39"/>
      <c r="D85" s="39"/>
      <c r="E85" s="39"/>
      <c r="F85" s="37">
        <f t="shared" si="3"/>
        <v>0</v>
      </c>
      <c r="G85" s="4"/>
      <c r="H85" s="222"/>
      <c r="I85" s="222"/>
    </row>
    <row r="86" spans="1:9">
      <c r="A86" s="187">
        <v>77</v>
      </c>
      <c r="B86" s="38"/>
      <c r="C86" s="39"/>
      <c r="D86" s="39"/>
      <c r="E86" s="39"/>
      <c r="F86" s="37">
        <f t="shared" si="3"/>
        <v>0</v>
      </c>
      <c r="G86" s="4"/>
      <c r="H86" s="222"/>
      <c r="I86" s="222"/>
    </row>
    <row r="87" spans="1:9">
      <c r="A87" s="187">
        <v>78</v>
      </c>
      <c r="B87" s="38"/>
      <c r="C87" s="39"/>
      <c r="D87" s="39"/>
      <c r="E87" s="39"/>
      <c r="F87" s="37">
        <f t="shared" si="3"/>
        <v>0</v>
      </c>
      <c r="G87" s="4"/>
      <c r="H87" s="222"/>
      <c r="I87" s="222"/>
    </row>
    <row r="88" spans="1:9">
      <c r="A88" s="187">
        <v>79</v>
      </c>
      <c r="B88" s="38"/>
      <c r="C88" s="39"/>
      <c r="D88" s="39"/>
      <c r="E88" s="39"/>
      <c r="F88" s="37">
        <f t="shared" si="3"/>
        <v>0</v>
      </c>
      <c r="G88" s="4"/>
      <c r="H88" s="222"/>
      <c r="I88" s="222"/>
    </row>
    <row r="89" spans="1:9">
      <c r="A89" s="187">
        <v>80</v>
      </c>
      <c r="B89" s="38"/>
      <c r="C89" s="39"/>
      <c r="D89" s="39"/>
      <c r="E89" s="39"/>
      <c r="F89" s="37">
        <f t="shared" si="3"/>
        <v>0</v>
      </c>
      <c r="G89" s="4"/>
      <c r="H89" s="222"/>
      <c r="I89" s="222"/>
    </row>
    <row r="90" spans="1:9">
      <c r="A90" s="187">
        <v>81</v>
      </c>
      <c r="B90" s="38"/>
      <c r="C90" s="39"/>
      <c r="D90" s="39"/>
      <c r="E90" s="39"/>
      <c r="F90" s="37">
        <f t="shared" si="3"/>
        <v>0</v>
      </c>
      <c r="G90" s="4"/>
      <c r="H90" s="222"/>
      <c r="I90" s="222"/>
    </row>
    <row r="91" spans="1:9">
      <c r="A91" s="187">
        <v>82</v>
      </c>
      <c r="B91" s="38"/>
      <c r="C91" s="39"/>
      <c r="D91" s="39"/>
      <c r="E91" s="39"/>
      <c r="F91" s="37">
        <f t="shared" si="3"/>
        <v>0</v>
      </c>
      <c r="G91" s="4"/>
      <c r="H91" s="222"/>
      <c r="I91" s="222"/>
    </row>
    <row r="92" spans="1:9">
      <c r="A92" s="187">
        <v>83</v>
      </c>
      <c r="B92" s="38"/>
      <c r="C92" s="39"/>
      <c r="D92" s="39"/>
      <c r="E92" s="39"/>
      <c r="F92" s="37">
        <f t="shared" si="3"/>
        <v>0</v>
      </c>
      <c r="G92" s="4"/>
      <c r="H92" s="222"/>
      <c r="I92" s="222"/>
    </row>
    <row r="93" spans="1:9">
      <c r="A93" s="187">
        <v>84</v>
      </c>
      <c r="B93" s="38"/>
      <c r="C93" s="39"/>
      <c r="D93" s="39"/>
      <c r="E93" s="39"/>
      <c r="F93" s="37">
        <f t="shared" si="3"/>
        <v>0</v>
      </c>
      <c r="G93" s="4"/>
      <c r="H93" s="222"/>
      <c r="I93" s="222"/>
    </row>
    <row r="94" spans="1:9">
      <c r="A94" s="187">
        <v>85</v>
      </c>
      <c r="B94" s="38"/>
      <c r="C94" s="39"/>
      <c r="D94" s="39"/>
      <c r="E94" s="39"/>
      <c r="F94" s="37">
        <f t="shared" si="3"/>
        <v>0</v>
      </c>
      <c r="G94" s="4"/>
      <c r="H94" s="222"/>
      <c r="I94" s="222"/>
    </row>
    <row r="95" spans="1:9">
      <c r="A95" s="187">
        <v>86</v>
      </c>
      <c r="B95" s="38"/>
      <c r="C95" s="39"/>
      <c r="D95" s="39"/>
      <c r="E95" s="39"/>
      <c r="F95" s="37">
        <f t="shared" si="3"/>
        <v>0</v>
      </c>
      <c r="G95" s="4"/>
      <c r="H95" s="222"/>
      <c r="I95" s="222"/>
    </row>
    <row r="96" spans="1:9">
      <c r="A96" s="187">
        <v>87</v>
      </c>
      <c r="B96" s="38"/>
      <c r="C96" s="39"/>
      <c r="D96" s="39"/>
      <c r="E96" s="39"/>
      <c r="F96" s="37">
        <f t="shared" si="3"/>
        <v>0</v>
      </c>
      <c r="G96" s="4"/>
      <c r="H96" s="222"/>
      <c r="I96" s="222"/>
    </row>
    <row r="97" spans="1:9">
      <c r="A97" s="187">
        <v>88</v>
      </c>
      <c r="B97" s="38"/>
      <c r="C97" s="39"/>
      <c r="D97" s="39"/>
      <c r="E97" s="39"/>
      <c r="F97" s="37">
        <f t="shared" si="3"/>
        <v>0</v>
      </c>
      <c r="G97" s="4"/>
      <c r="H97" s="222"/>
      <c r="I97" s="222"/>
    </row>
    <row r="98" spans="1:9">
      <c r="A98" s="187">
        <v>89</v>
      </c>
      <c r="B98" s="38"/>
      <c r="C98" s="39"/>
      <c r="D98" s="39"/>
      <c r="E98" s="39"/>
      <c r="F98" s="37">
        <f t="shared" si="3"/>
        <v>0</v>
      </c>
      <c r="G98" s="4"/>
      <c r="H98" s="222"/>
      <c r="I98" s="222"/>
    </row>
    <row r="99" spans="1:9">
      <c r="A99" s="187">
        <v>90</v>
      </c>
      <c r="B99" s="38"/>
      <c r="C99" s="39"/>
      <c r="D99" s="39"/>
      <c r="E99" s="39"/>
      <c r="F99" s="37">
        <f t="shared" si="3"/>
        <v>0</v>
      </c>
      <c r="G99" s="4"/>
      <c r="H99" s="222"/>
      <c r="I99" s="222"/>
    </row>
    <row r="100" spans="1:9">
      <c r="A100" s="187">
        <v>91</v>
      </c>
      <c r="B100" s="38"/>
      <c r="C100" s="39"/>
      <c r="D100" s="39"/>
      <c r="E100" s="39"/>
      <c r="F100" s="37">
        <f t="shared" si="3"/>
        <v>0</v>
      </c>
      <c r="G100" s="4"/>
      <c r="H100" s="222"/>
      <c r="I100" s="222"/>
    </row>
    <row r="101" spans="1:9">
      <c r="A101" s="187">
        <v>92</v>
      </c>
      <c r="B101" s="38"/>
      <c r="C101" s="39"/>
      <c r="D101" s="39"/>
      <c r="E101" s="39"/>
      <c r="F101" s="37">
        <f t="shared" si="3"/>
        <v>0</v>
      </c>
      <c r="G101" s="4"/>
      <c r="H101" s="222"/>
      <c r="I101" s="222"/>
    </row>
    <row r="102" spans="1:9">
      <c r="A102" s="187">
        <v>93</v>
      </c>
      <c r="B102" s="38"/>
      <c r="C102" s="39"/>
      <c r="D102" s="39"/>
      <c r="E102" s="39"/>
      <c r="F102" s="37">
        <f t="shared" si="3"/>
        <v>0</v>
      </c>
      <c r="G102" s="4"/>
      <c r="H102" s="222"/>
      <c r="I102" s="222"/>
    </row>
    <row r="103" spans="1:9">
      <c r="A103" s="187">
        <v>94</v>
      </c>
      <c r="B103" s="38"/>
      <c r="C103" s="39"/>
      <c r="D103" s="39"/>
      <c r="E103" s="39"/>
      <c r="F103" s="37">
        <f t="shared" si="3"/>
        <v>0</v>
      </c>
      <c r="G103" s="4"/>
      <c r="H103" s="222"/>
      <c r="I103" s="222"/>
    </row>
    <row r="104" spans="1:9">
      <c r="A104" s="187">
        <v>95</v>
      </c>
      <c r="B104" s="38"/>
      <c r="C104" s="39"/>
      <c r="D104" s="39"/>
      <c r="E104" s="39"/>
      <c r="F104" s="37">
        <f t="shared" si="3"/>
        <v>0</v>
      </c>
      <c r="G104" s="4"/>
      <c r="H104" s="222"/>
      <c r="I104" s="222"/>
    </row>
    <row r="105" spans="1:9">
      <c r="A105" s="187">
        <v>96</v>
      </c>
      <c r="B105" s="38"/>
      <c r="C105" s="39"/>
      <c r="D105" s="39"/>
      <c r="E105" s="39"/>
      <c r="F105" s="37">
        <f t="shared" si="3"/>
        <v>0</v>
      </c>
      <c r="G105" s="4"/>
      <c r="H105" s="222"/>
      <c r="I105" s="222"/>
    </row>
    <row r="106" spans="1:9">
      <c r="A106" s="187">
        <v>97</v>
      </c>
      <c r="B106" s="38"/>
      <c r="C106" s="39"/>
      <c r="D106" s="39"/>
      <c r="E106" s="39"/>
      <c r="F106" s="37">
        <f t="shared" si="3"/>
        <v>0</v>
      </c>
      <c r="G106" s="4"/>
      <c r="H106" s="222"/>
      <c r="I106" s="222"/>
    </row>
    <row r="107" spans="1:9">
      <c r="A107" s="187">
        <v>98</v>
      </c>
      <c r="B107" s="38"/>
      <c r="C107" s="39"/>
      <c r="D107" s="39"/>
      <c r="E107" s="39"/>
      <c r="F107" s="37">
        <f t="shared" si="3"/>
        <v>0</v>
      </c>
      <c r="G107" s="4"/>
      <c r="H107" s="222"/>
      <c r="I107" s="222"/>
    </row>
    <row r="108" spans="1:9">
      <c r="A108" s="187">
        <v>99</v>
      </c>
      <c r="B108" s="38"/>
      <c r="C108" s="39"/>
      <c r="D108" s="39"/>
      <c r="E108" s="39"/>
      <c r="F108" s="37">
        <f t="shared" si="3"/>
        <v>0</v>
      </c>
      <c r="G108" s="4"/>
      <c r="H108" s="222"/>
      <c r="I108" s="222"/>
    </row>
    <row r="109" spans="1:9">
      <c r="A109" s="187">
        <v>100</v>
      </c>
      <c r="B109" s="38"/>
      <c r="C109" s="39"/>
      <c r="D109" s="39"/>
      <c r="E109" s="39"/>
      <c r="F109" s="37">
        <f t="shared" si="3"/>
        <v>0</v>
      </c>
      <c r="G109" s="4"/>
      <c r="H109" s="222"/>
      <c r="I109" s="222"/>
    </row>
    <row r="110" spans="1:9" ht="13">
      <c r="A110" s="224" t="s">
        <v>70</v>
      </c>
      <c r="B110" s="220">
        <f>SUM(B10:B109)</f>
        <v>0</v>
      </c>
      <c r="C110" s="220">
        <f>SUM(C10:C109)</f>
        <v>0</v>
      </c>
      <c r="D110" s="220">
        <f>SUM(D10:D109)</f>
        <v>0</v>
      </c>
      <c r="E110" s="220">
        <f>SUM(E10:E109)</f>
        <v>0</v>
      </c>
      <c r="F110" s="220">
        <f>SUM(F10:F109)</f>
        <v>0</v>
      </c>
      <c r="G110" s="4"/>
      <c r="H110" s="222"/>
      <c r="I110" s="222"/>
    </row>
    <row r="111" spans="1:9">
      <c r="A111" s="3"/>
      <c r="B111" s="31"/>
      <c r="C111" s="32"/>
      <c r="D111" s="32"/>
      <c r="E111" s="32"/>
      <c r="F111" s="32"/>
      <c r="G111" s="4"/>
      <c r="H111" s="222"/>
      <c r="I111" s="222"/>
    </row>
    <row r="112" spans="1:9">
      <c r="A112" s="4"/>
      <c r="B112" s="3"/>
      <c r="C112" s="4"/>
      <c r="D112" s="4"/>
      <c r="E112" s="4"/>
      <c r="F112" s="4"/>
      <c r="G112" s="4"/>
      <c r="H112" s="222"/>
      <c r="I112" s="222"/>
    </row>
    <row r="113" spans="1:9" ht="13">
      <c r="A113" s="33"/>
      <c r="B113" s="3"/>
      <c r="C113" s="4"/>
      <c r="D113" s="4"/>
      <c r="E113" s="4"/>
      <c r="F113" s="4"/>
      <c r="G113" s="4"/>
      <c r="H113" s="222"/>
      <c r="I113" s="222"/>
    </row>
    <row r="114" spans="1:9">
      <c r="A114" s="4"/>
      <c r="B114" s="4"/>
      <c r="C114" s="4"/>
      <c r="D114" s="4"/>
      <c r="E114" s="4"/>
      <c r="F114" s="4"/>
      <c r="G114" s="4"/>
      <c r="H114" s="222"/>
      <c r="I114" s="222"/>
    </row>
  </sheetData>
  <mergeCells count="4">
    <mergeCell ref="F6:G6"/>
    <mergeCell ref="F3:H3"/>
    <mergeCell ref="B4:C4"/>
    <mergeCell ref="B3:C3"/>
  </mergeCells>
  <phoneticPr fontId="37" type="noConversion"/>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5"/>
  <dimension ref="A1:I114"/>
  <sheetViews>
    <sheetView workbookViewId="0">
      <pane ySplit="9" topLeftCell="A61" activePane="bottomLeft" state="frozen"/>
      <selection pane="bottomLeft" activeCell="F5" sqref="F5"/>
    </sheetView>
  </sheetViews>
  <sheetFormatPr defaultColWidth="11.54296875" defaultRowHeight="12.5"/>
  <cols>
    <col min="1" max="1" width="15.7265625" style="1" customWidth="1"/>
    <col min="2" max="2" width="11.81640625" style="1" customWidth="1"/>
    <col min="3" max="8" width="11.81640625" customWidth="1"/>
  </cols>
  <sheetData>
    <row r="1" spans="1:9" s="7" customFormat="1" ht="19.5" customHeight="1">
      <c r="A1" s="34" t="s">
        <v>145</v>
      </c>
      <c r="B1" s="6"/>
      <c r="C1" s="4"/>
      <c r="D1" s="6"/>
      <c r="E1" s="6"/>
      <c r="F1" s="6"/>
      <c r="G1" s="6"/>
      <c r="H1" s="6"/>
      <c r="I1" s="6"/>
    </row>
    <row r="2" spans="1:9" s="7" customFormat="1" ht="19.5" customHeight="1" thickBot="1">
      <c r="A2" s="350" t="s">
        <v>146</v>
      </c>
      <c r="B2" s="6"/>
      <c r="C2" s="11"/>
      <c r="D2" s="6"/>
      <c r="E2" s="6"/>
      <c r="F2" s="6"/>
      <c r="G2" s="6"/>
      <c r="H2" s="6"/>
      <c r="I2" s="6"/>
    </row>
    <row r="3" spans="1:9" s="7" customFormat="1" ht="18" customHeight="1" thickBot="1">
      <c r="A3" s="346" t="s">
        <v>135</v>
      </c>
      <c r="B3" s="389" t="str">
        <f>'START HERE'!F6</f>
        <v>Korea</v>
      </c>
      <c r="C3" s="390"/>
      <c r="D3" s="6"/>
      <c r="E3" s="31" t="s">
        <v>141</v>
      </c>
      <c r="F3" s="386" t="s">
        <v>98</v>
      </c>
      <c r="G3" s="387"/>
      <c r="H3" s="388"/>
      <c r="I3" s="36"/>
    </row>
    <row r="4" spans="1:9" s="7" customFormat="1" ht="18" customHeight="1">
      <c r="A4" s="12" t="s">
        <v>22</v>
      </c>
      <c r="B4" s="389" t="str">
        <f>'START HERE'!F5</f>
        <v>Jack mackerel</v>
      </c>
      <c r="C4" s="390"/>
      <c r="D4" s="26"/>
      <c r="E4" s="351" t="s">
        <v>114</v>
      </c>
      <c r="F4" s="392"/>
      <c r="G4" s="393"/>
      <c r="H4" s="394"/>
      <c r="I4" s="36"/>
    </row>
    <row r="5" spans="1:9" s="7" customFormat="1" ht="18" customHeight="1">
      <c r="A5" s="12" t="s">
        <v>15</v>
      </c>
      <c r="B5" s="395">
        <f>'START HERE'!K3</f>
        <v>2018</v>
      </c>
      <c r="C5" s="396"/>
      <c r="D5" s="6"/>
      <c r="E5" s="35" t="s">
        <v>46</v>
      </c>
      <c r="F5" s="85" t="s">
        <v>133</v>
      </c>
      <c r="G5" s="198"/>
      <c r="H5" s="86"/>
      <c r="I5" s="36"/>
    </row>
    <row r="6" spans="1:9" s="7" customFormat="1" ht="18" customHeight="1" thickBot="1">
      <c r="A6" s="12"/>
      <c r="B6" s="81"/>
      <c r="C6" s="82"/>
      <c r="D6" s="6"/>
      <c r="E6" s="35" t="s">
        <v>16</v>
      </c>
      <c r="F6" s="384">
        <f>'START HERE'!$F8</f>
        <v>42252</v>
      </c>
      <c r="G6" s="385"/>
      <c r="H6" s="391"/>
      <c r="I6" s="36"/>
    </row>
    <row r="7" spans="1:9" s="7" customFormat="1" ht="9.75" customHeight="1">
      <c r="A7" s="6"/>
      <c r="B7" s="6"/>
      <c r="C7" s="6"/>
      <c r="D7" s="6"/>
      <c r="E7" s="6"/>
      <c r="F7" s="6"/>
      <c r="G7" s="6"/>
      <c r="H7" s="6"/>
      <c r="I7" s="6"/>
    </row>
    <row r="8" spans="1:9" ht="18" customHeight="1">
      <c r="A8" s="27" t="s">
        <v>92</v>
      </c>
      <c r="B8" s="27" t="s">
        <v>60</v>
      </c>
      <c r="C8" s="27" t="s">
        <v>37</v>
      </c>
      <c r="D8" s="27" t="s">
        <v>38</v>
      </c>
      <c r="E8" s="27" t="s">
        <v>39</v>
      </c>
      <c r="F8" s="27" t="s">
        <v>48</v>
      </c>
      <c r="G8" s="4"/>
      <c r="H8" s="222"/>
      <c r="I8" s="222"/>
    </row>
    <row r="9" spans="1:9" ht="18">
      <c r="A9" s="28" t="s">
        <v>49</v>
      </c>
      <c r="B9" s="227">
        <f>'START HERE'!$K$3</f>
        <v>2018</v>
      </c>
      <c r="C9" s="227">
        <f>'START HERE'!$K$3</f>
        <v>2018</v>
      </c>
      <c r="D9" s="227">
        <f>'START HERE'!$K$3</f>
        <v>2018</v>
      </c>
      <c r="E9" s="227">
        <f>'START HERE'!$K$3</f>
        <v>2018</v>
      </c>
      <c r="F9" s="227">
        <f>'START HERE'!$K$3</f>
        <v>2018</v>
      </c>
      <c r="G9" s="4"/>
      <c r="H9" s="222"/>
      <c r="I9" s="222"/>
    </row>
    <row r="10" spans="1:9">
      <c r="A10" s="187">
        <v>1</v>
      </c>
      <c r="B10" s="38"/>
      <c r="C10" s="39"/>
      <c r="D10" s="39"/>
      <c r="E10" s="39"/>
      <c r="F10" s="37">
        <f t="shared" ref="F10:F15" si="0">SUM(B10:E10)</f>
        <v>0</v>
      </c>
      <c r="G10" s="4"/>
      <c r="H10" s="222"/>
      <c r="I10" s="222"/>
    </row>
    <row r="11" spans="1:9">
      <c r="A11" s="187">
        <v>2</v>
      </c>
      <c r="B11" s="38"/>
      <c r="C11" s="39"/>
      <c r="D11" s="39"/>
      <c r="E11" s="39"/>
      <c r="F11" s="37">
        <f t="shared" si="0"/>
        <v>0</v>
      </c>
      <c r="G11" s="4"/>
      <c r="H11" s="222"/>
      <c r="I11" s="222"/>
    </row>
    <row r="12" spans="1:9">
      <c r="A12" s="187">
        <v>3</v>
      </c>
      <c r="B12" s="38"/>
      <c r="C12" s="39"/>
      <c r="D12" s="39"/>
      <c r="E12" s="39"/>
      <c r="F12" s="37">
        <f t="shared" si="0"/>
        <v>0</v>
      </c>
      <c r="G12" s="4"/>
      <c r="H12" s="222"/>
      <c r="I12" s="222"/>
    </row>
    <row r="13" spans="1:9">
      <c r="A13" s="187">
        <v>4</v>
      </c>
      <c r="B13" s="38"/>
      <c r="C13" s="39"/>
      <c r="D13" s="39"/>
      <c r="E13" s="39"/>
      <c r="F13" s="37">
        <f t="shared" si="0"/>
        <v>0</v>
      </c>
      <c r="G13" s="4"/>
      <c r="H13" s="222"/>
      <c r="I13" s="222"/>
    </row>
    <row r="14" spans="1:9">
      <c r="A14" s="187">
        <v>5</v>
      </c>
      <c r="B14" s="38"/>
      <c r="C14" s="39"/>
      <c r="D14" s="39"/>
      <c r="E14" s="39"/>
      <c r="F14" s="37">
        <f t="shared" si="0"/>
        <v>0</v>
      </c>
      <c r="G14" s="4"/>
      <c r="H14" s="222"/>
      <c r="I14" s="222"/>
    </row>
    <row r="15" spans="1:9">
      <c r="A15" s="187">
        <v>6</v>
      </c>
      <c r="B15" s="38"/>
      <c r="C15" s="39"/>
      <c r="D15" s="39"/>
      <c r="E15" s="39"/>
      <c r="F15" s="37">
        <f t="shared" si="0"/>
        <v>0</v>
      </c>
      <c r="G15" s="4"/>
      <c r="H15" s="222"/>
      <c r="I15" s="222"/>
    </row>
    <row r="16" spans="1:9">
      <c r="A16" s="187">
        <v>7</v>
      </c>
      <c r="B16" s="38"/>
      <c r="C16" s="39"/>
      <c r="D16" s="39"/>
      <c r="E16" s="39"/>
      <c r="F16" s="37">
        <f t="shared" ref="F16:F79" si="1">SUM(B16:E16)</f>
        <v>0</v>
      </c>
      <c r="G16" s="4"/>
      <c r="H16" s="222"/>
      <c r="I16" s="222"/>
    </row>
    <row r="17" spans="1:9">
      <c r="A17" s="187">
        <v>8</v>
      </c>
      <c r="B17" s="38"/>
      <c r="C17" s="39"/>
      <c r="D17" s="39"/>
      <c r="E17" s="39"/>
      <c r="F17" s="37">
        <f t="shared" si="1"/>
        <v>0</v>
      </c>
      <c r="G17" s="4"/>
      <c r="H17" s="222"/>
      <c r="I17" s="222"/>
    </row>
    <row r="18" spans="1:9">
      <c r="A18" s="187">
        <v>9</v>
      </c>
      <c r="B18" s="38"/>
      <c r="C18" s="39"/>
      <c r="D18" s="39"/>
      <c r="E18" s="39"/>
      <c r="F18" s="37">
        <f t="shared" si="1"/>
        <v>0</v>
      </c>
      <c r="G18" s="4"/>
      <c r="H18" s="222"/>
      <c r="I18" s="222"/>
    </row>
    <row r="19" spans="1:9">
      <c r="A19" s="187">
        <v>10</v>
      </c>
      <c r="B19" s="38"/>
      <c r="C19" s="39"/>
      <c r="D19" s="39"/>
      <c r="E19" s="39"/>
      <c r="F19" s="37">
        <f t="shared" si="1"/>
        <v>0</v>
      </c>
      <c r="G19" s="4"/>
      <c r="H19" s="222"/>
      <c r="I19" s="222"/>
    </row>
    <row r="20" spans="1:9">
      <c r="A20" s="187">
        <v>11</v>
      </c>
      <c r="B20" s="38"/>
      <c r="C20" s="39"/>
      <c r="D20" s="39"/>
      <c r="E20" s="39"/>
      <c r="F20" s="37">
        <f t="shared" si="1"/>
        <v>0</v>
      </c>
      <c r="G20" s="4"/>
      <c r="H20" s="222"/>
      <c r="I20" s="222"/>
    </row>
    <row r="21" spans="1:9">
      <c r="A21" s="187">
        <v>12</v>
      </c>
      <c r="B21" s="38"/>
      <c r="C21" s="39"/>
      <c r="D21" s="39"/>
      <c r="E21" s="39"/>
      <c r="F21" s="37">
        <f t="shared" si="1"/>
        <v>0</v>
      </c>
      <c r="G21" s="4"/>
      <c r="H21" s="222"/>
      <c r="I21" s="222"/>
    </row>
    <row r="22" spans="1:9">
      <c r="A22" s="187">
        <v>13</v>
      </c>
      <c r="B22" s="38"/>
      <c r="C22" s="39"/>
      <c r="D22" s="39"/>
      <c r="E22" s="39"/>
      <c r="F22" s="37">
        <f t="shared" si="1"/>
        <v>0</v>
      </c>
      <c r="G22" s="4"/>
      <c r="H22" s="222"/>
      <c r="I22" s="222"/>
    </row>
    <row r="23" spans="1:9">
      <c r="A23" s="187">
        <v>14</v>
      </c>
      <c r="B23" s="38"/>
      <c r="C23" s="39"/>
      <c r="D23" s="39"/>
      <c r="E23" s="39"/>
      <c r="F23" s="37">
        <f t="shared" si="1"/>
        <v>0</v>
      </c>
      <c r="G23" s="4"/>
      <c r="H23" s="222"/>
      <c r="I23" s="222"/>
    </row>
    <row r="24" spans="1:9">
      <c r="A24" s="187">
        <v>15</v>
      </c>
      <c r="B24" s="38"/>
      <c r="C24" s="39"/>
      <c r="D24" s="39"/>
      <c r="E24" s="39"/>
      <c r="F24" s="37">
        <f t="shared" si="1"/>
        <v>0</v>
      </c>
      <c r="G24" s="29"/>
      <c r="H24" s="222"/>
      <c r="I24" s="222"/>
    </row>
    <row r="25" spans="1:9">
      <c r="A25" s="187">
        <v>16</v>
      </c>
      <c r="B25" s="38"/>
      <c r="C25" s="39"/>
      <c r="D25" s="39"/>
      <c r="E25" s="39"/>
      <c r="F25" s="37">
        <f t="shared" si="1"/>
        <v>0</v>
      </c>
      <c r="G25" s="4"/>
      <c r="H25" s="222"/>
      <c r="I25" s="222"/>
    </row>
    <row r="26" spans="1:9">
      <c r="A26" s="187">
        <v>17</v>
      </c>
      <c r="B26" s="38"/>
      <c r="C26" s="39"/>
      <c r="D26" s="39"/>
      <c r="E26" s="39"/>
      <c r="F26" s="37">
        <f t="shared" si="1"/>
        <v>0</v>
      </c>
      <c r="G26" s="4"/>
      <c r="H26" s="222"/>
      <c r="I26" s="222"/>
    </row>
    <row r="27" spans="1:9">
      <c r="A27" s="187">
        <v>18</v>
      </c>
      <c r="B27" s="38"/>
      <c r="C27" s="39"/>
      <c r="D27" s="39"/>
      <c r="E27" s="39"/>
      <c r="F27" s="37">
        <f t="shared" si="1"/>
        <v>0</v>
      </c>
      <c r="G27" s="4"/>
      <c r="H27" s="222"/>
      <c r="I27" s="222"/>
    </row>
    <row r="28" spans="1:9">
      <c r="A28" s="187">
        <v>19</v>
      </c>
      <c r="B28" s="38"/>
      <c r="C28" s="39"/>
      <c r="D28" s="39"/>
      <c r="E28" s="39"/>
      <c r="F28" s="37">
        <f t="shared" si="1"/>
        <v>0</v>
      </c>
      <c r="G28" s="4"/>
      <c r="H28" s="222"/>
      <c r="I28" s="222"/>
    </row>
    <row r="29" spans="1:9">
      <c r="A29" s="187">
        <v>20</v>
      </c>
      <c r="B29" s="38"/>
      <c r="C29" s="39"/>
      <c r="D29" s="39"/>
      <c r="E29" s="39"/>
      <c r="F29" s="37">
        <f t="shared" si="1"/>
        <v>0</v>
      </c>
      <c r="G29" s="4"/>
      <c r="H29" s="222"/>
      <c r="I29" s="222"/>
    </row>
    <row r="30" spans="1:9">
      <c r="A30" s="187">
        <v>21</v>
      </c>
      <c r="B30" s="38"/>
      <c r="C30" s="39"/>
      <c r="D30" s="39"/>
      <c r="E30" s="39"/>
      <c r="F30" s="37">
        <f t="shared" si="1"/>
        <v>0</v>
      </c>
      <c r="G30" s="4"/>
      <c r="H30" s="222"/>
      <c r="I30" s="222"/>
    </row>
    <row r="31" spans="1:9">
      <c r="A31" s="187">
        <v>22</v>
      </c>
      <c r="B31" s="38"/>
      <c r="C31" s="39"/>
      <c r="D31" s="39"/>
      <c r="E31" s="39"/>
      <c r="F31" s="37">
        <f t="shared" si="1"/>
        <v>0</v>
      </c>
      <c r="G31" s="4"/>
      <c r="H31" s="222"/>
      <c r="I31" s="222"/>
    </row>
    <row r="32" spans="1:9">
      <c r="A32" s="187">
        <v>23</v>
      </c>
      <c r="B32" s="38"/>
      <c r="C32" s="39"/>
      <c r="D32" s="39"/>
      <c r="E32" s="39"/>
      <c r="F32" s="37">
        <f t="shared" si="1"/>
        <v>0</v>
      </c>
      <c r="G32" s="4"/>
      <c r="H32" s="222"/>
      <c r="I32" s="222"/>
    </row>
    <row r="33" spans="1:9">
      <c r="A33" s="187">
        <v>24</v>
      </c>
      <c r="B33" s="38"/>
      <c r="C33" s="39"/>
      <c r="D33" s="39"/>
      <c r="E33" s="39"/>
      <c r="F33" s="37">
        <f t="shared" si="1"/>
        <v>0</v>
      </c>
      <c r="G33" s="4"/>
      <c r="H33" s="222"/>
      <c r="I33" s="222"/>
    </row>
    <row r="34" spans="1:9">
      <c r="A34" s="187">
        <v>25</v>
      </c>
      <c r="B34" s="38"/>
      <c r="C34" s="39"/>
      <c r="D34" s="39"/>
      <c r="E34" s="39"/>
      <c r="F34" s="37">
        <f t="shared" si="1"/>
        <v>0</v>
      </c>
      <c r="G34" s="4"/>
      <c r="H34" s="222"/>
      <c r="I34" s="222"/>
    </row>
    <row r="35" spans="1:9">
      <c r="A35" s="187">
        <v>26</v>
      </c>
      <c r="B35" s="38"/>
      <c r="C35" s="39"/>
      <c r="D35" s="39"/>
      <c r="E35" s="39"/>
      <c r="F35" s="37">
        <f t="shared" si="1"/>
        <v>0</v>
      </c>
      <c r="G35" s="4"/>
      <c r="H35" s="222"/>
      <c r="I35" s="222"/>
    </row>
    <row r="36" spans="1:9">
      <c r="A36" s="187">
        <v>27</v>
      </c>
      <c r="B36" s="38"/>
      <c r="C36" s="39"/>
      <c r="D36" s="39"/>
      <c r="E36" s="39"/>
      <c r="F36" s="37">
        <f t="shared" si="1"/>
        <v>0</v>
      </c>
      <c r="G36" s="4"/>
      <c r="H36" s="222"/>
      <c r="I36" s="222"/>
    </row>
    <row r="37" spans="1:9">
      <c r="A37" s="187">
        <v>28</v>
      </c>
      <c r="B37" s="38"/>
      <c r="C37" s="39"/>
      <c r="D37" s="39"/>
      <c r="E37" s="39"/>
      <c r="F37" s="37">
        <f t="shared" si="1"/>
        <v>0</v>
      </c>
      <c r="G37" s="4"/>
      <c r="H37" s="222"/>
      <c r="I37" s="222"/>
    </row>
    <row r="38" spans="1:9">
      <c r="A38" s="187">
        <v>29</v>
      </c>
      <c r="B38" s="38"/>
      <c r="C38" s="39"/>
      <c r="D38" s="39"/>
      <c r="E38" s="39"/>
      <c r="F38" s="37">
        <f t="shared" si="1"/>
        <v>0</v>
      </c>
      <c r="G38" s="4"/>
      <c r="H38" s="222"/>
      <c r="I38" s="222"/>
    </row>
    <row r="39" spans="1:9">
      <c r="A39" s="187">
        <v>30</v>
      </c>
      <c r="B39" s="38"/>
      <c r="C39" s="39"/>
      <c r="D39" s="39"/>
      <c r="E39" s="39"/>
      <c r="F39" s="37">
        <f t="shared" si="1"/>
        <v>0</v>
      </c>
      <c r="G39" s="4"/>
      <c r="H39" s="222"/>
      <c r="I39" s="222"/>
    </row>
    <row r="40" spans="1:9">
      <c r="A40" s="187">
        <v>31</v>
      </c>
      <c r="B40" s="38"/>
      <c r="C40" s="39"/>
      <c r="D40" s="39"/>
      <c r="E40" s="39"/>
      <c r="F40" s="37">
        <f t="shared" si="1"/>
        <v>0</v>
      </c>
      <c r="G40" s="4"/>
      <c r="H40" s="222"/>
      <c r="I40" s="222"/>
    </row>
    <row r="41" spans="1:9">
      <c r="A41" s="187">
        <v>32</v>
      </c>
      <c r="B41" s="38"/>
      <c r="C41" s="39"/>
      <c r="D41" s="39"/>
      <c r="E41" s="39"/>
      <c r="F41" s="37">
        <f t="shared" si="1"/>
        <v>0</v>
      </c>
      <c r="G41" s="4"/>
      <c r="H41" s="222"/>
      <c r="I41" s="222"/>
    </row>
    <row r="42" spans="1:9">
      <c r="A42" s="187">
        <v>33</v>
      </c>
      <c r="B42" s="38"/>
      <c r="C42" s="39"/>
      <c r="D42" s="39"/>
      <c r="E42" s="39"/>
      <c r="F42" s="37">
        <f t="shared" si="1"/>
        <v>0</v>
      </c>
      <c r="G42" s="4"/>
      <c r="H42" s="222"/>
      <c r="I42" s="222"/>
    </row>
    <row r="43" spans="1:9">
      <c r="A43" s="187">
        <v>34</v>
      </c>
      <c r="B43" s="38"/>
      <c r="C43" s="39"/>
      <c r="D43" s="39"/>
      <c r="E43" s="39"/>
      <c r="F43" s="37">
        <f t="shared" si="1"/>
        <v>0</v>
      </c>
      <c r="G43" s="4"/>
      <c r="H43" s="222"/>
      <c r="I43" s="222"/>
    </row>
    <row r="44" spans="1:9">
      <c r="A44" s="187">
        <v>35</v>
      </c>
      <c r="B44" s="38"/>
      <c r="C44" s="39"/>
      <c r="D44" s="39"/>
      <c r="E44" s="39"/>
      <c r="F44" s="37">
        <f t="shared" si="1"/>
        <v>0</v>
      </c>
      <c r="G44" s="4"/>
      <c r="H44" s="222"/>
      <c r="I44" s="222"/>
    </row>
    <row r="45" spans="1:9">
      <c r="A45" s="187">
        <v>36</v>
      </c>
      <c r="B45" s="38"/>
      <c r="C45" s="39"/>
      <c r="D45" s="39"/>
      <c r="E45" s="39"/>
      <c r="F45" s="37">
        <f t="shared" si="1"/>
        <v>0</v>
      </c>
      <c r="G45" s="4"/>
      <c r="H45" s="222"/>
      <c r="I45" s="222"/>
    </row>
    <row r="46" spans="1:9">
      <c r="A46" s="187">
        <v>37</v>
      </c>
      <c r="B46" s="38"/>
      <c r="C46" s="39"/>
      <c r="D46" s="39"/>
      <c r="E46" s="39"/>
      <c r="F46" s="37">
        <f t="shared" si="1"/>
        <v>0</v>
      </c>
      <c r="G46" s="4"/>
      <c r="H46" s="222"/>
      <c r="I46" s="222"/>
    </row>
    <row r="47" spans="1:9">
      <c r="A47" s="187">
        <v>38</v>
      </c>
      <c r="B47" s="38"/>
      <c r="C47" s="39"/>
      <c r="D47" s="39"/>
      <c r="E47" s="39"/>
      <c r="F47" s="37">
        <f t="shared" si="1"/>
        <v>0</v>
      </c>
      <c r="G47" s="4"/>
      <c r="H47" s="222"/>
      <c r="I47" s="222"/>
    </row>
    <row r="48" spans="1:9">
      <c r="A48" s="187">
        <v>39</v>
      </c>
      <c r="B48" s="38"/>
      <c r="C48" s="39"/>
      <c r="D48" s="39"/>
      <c r="E48" s="39"/>
      <c r="F48" s="37">
        <f t="shared" si="1"/>
        <v>0</v>
      </c>
      <c r="G48" s="4"/>
      <c r="H48" s="222"/>
      <c r="I48" s="222"/>
    </row>
    <row r="49" spans="1:9">
      <c r="A49" s="187">
        <v>40</v>
      </c>
      <c r="B49" s="38"/>
      <c r="C49" s="39"/>
      <c r="D49" s="39"/>
      <c r="E49" s="39"/>
      <c r="F49" s="37">
        <f t="shared" si="1"/>
        <v>0</v>
      </c>
      <c r="G49" s="4"/>
      <c r="H49" s="222"/>
      <c r="I49" s="222"/>
    </row>
    <row r="50" spans="1:9">
      <c r="A50" s="187">
        <v>41</v>
      </c>
      <c r="B50" s="38"/>
      <c r="C50" s="39"/>
      <c r="D50" s="39"/>
      <c r="E50" s="39"/>
      <c r="F50" s="37">
        <f t="shared" si="1"/>
        <v>0</v>
      </c>
      <c r="G50" s="4"/>
      <c r="H50" s="222"/>
      <c r="I50" s="222"/>
    </row>
    <row r="51" spans="1:9">
      <c r="A51" s="187">
        <v>42</v>
      </c>
      <c r="B51" s="38"/>
      <c r="C51" s="39"/>
      <c r="D51" s="39"/>
      <c r="E51" s="39"/>
      <c r="F51" s="37">
        <f t="shared" si="1"/>
        <v>0</v>
      </c>
      <c r="G51" s="4"/>
      <c r="H51" s="222"/>
      <c r="I51" s="222"/>
    </row>
    <row r="52" spans="1:9">
      <c r="A52" s="187">
        <v>43</v>
      </c>
      <c r="B52" s="38"/>
      <c r="C52" s="39"/>
      <c r="D52" s="39"/>
      <c r="E52" s="39"/>
      <c r="F52" s="37">
        <f t="shared" si="1"/>
        <v>0</v>
      </c>
      <c r="G52" s="4"/>
      <c r="H52" s="222"/>
      <c r="I52" s="222"/>
    </row>
    <row r="53" spans="1:9">
      <c r="A53" s="187">
        <v>44</v>
      </c>
      <c r="B53" s="38"/>
      <c r="C53" s="39"/>
      <c r="D53" s="39"/>
      <c r="E53" s="39"/>
      <c r="F53" s="37">
        <f t="shared" si="1"/>
        <v>0</v>
      </c>
      <c r="G53" s="4"/>
      <c r="H53" s="222"/>
      <c r="I53" s="222"/>
    </row>
    <row r="54" spans="1:9">
      <c r="A54" s="187">
        <v>45</v>
      </c>
      <c r="B54" s="38"/>
      <c r="C54" s="39"/>
      <c r="D54" s="39"/>
      <c r="E54" s="39"/>
      <c r="F54" s="37">
        <f t="shared" si="1"/>
        <v>0</v>
      </c>
      <c r="G54" s="4"/>
      <c r="H54" s="222"/>
      <c r="I54" s="222"/>
    </row>
    <row r="55" spans="1:9">
      <c r="A55" s="187">
        <v>46</v>
      </c>
      <c r="B55" s="38"/>
      <c r="C55" s="39"/>
      <c r="D55" s="39"/>
      <c r="E55" s="39"/>
      <c r="F55" s="37">
        <f t="shared" si="1"/>
        <v>0</v>
      </c>
      <c r="G55" s="4"/>
      <c r="H55" s="222"/>
      <c r="I55" s="222"/>
    </row>
    <row r="56" spans="1:9">
      <c r="A56" s="187">
        <v>47</v>
      </c>
      <c r="B56" s="38"/>
      <c r="C56" s="39"/>
      <c r="D56" s="39"/>
      <c r="E56" s="39"/>
      <c r="F56" s="37">
        <f t="shared" si="1"/>
        <v>0</v>
      </c>
      <c r="G56" s="4"/>
      <c r="H56" s="222"/>
      <c r="I56" s="222"/>
    </row>
    <row r="57" spans="1:9">
      <c r="A57" s="187">
        <v>48</v>
      </c>
      <c r="B57" s="38"/>
      <c r="C57" s="39"/>
      <c r="D57" s="39"/>
      <c r="E57" s="39"/>
      <c r="F57" s="37">
        <f t="shared" si="1"/>
        <v>0</v>
      </c>
      <c r="G57" s="4"/>
      <c r="H57" s="222"/>
      <c r="I57" s="222"/>
    </row>
    <row r="58" spans="1:9">
      <c r="A58" s="187">
        <v>49</v>
      </c>
      <c r="B58" s="38"/>
      <c r="C58" s="39"/>
      <c r="D58" s="39"/>
      <c r="E58" s="39"/>
      <c r="F58" s="37">
        <f t="shared" si="1"/>
        <v>0</v>
      </c>
      <c r="G58" s="4"/>
      <c r="H58" s="222"/>
      <c r="I58" s="222"/>
    </row>
    <row r="59" spans="1:9">
      <c r="A59" s="187">
        <v>50</v>
      </c>
      <c r="B59" s="38"/>
      <c r="C59" s="39"/>
      <c r="D59" s="39"/>
      <c r="E59" s="39"/>
      <c r="F59" s="37">
        <f t="shared" si="1"/>
        <v>0</v>
      </c>
      <c r="G59" s="4"/>
      <c r="H59" s="222"/>
      <c r="I59" s="222"/>
    </row>
    <row r="60" spans="1:9">
      <c r="A60" s="187">
        <v>51</v>
      </c>
      <c r="B60" s="38"/>
      <c r="C60" s="39"/>
      <c r="D60" s="39"/>
      <c r="E60" s="39"/>
      <c r="F60" s="37">
        <f t="shared" si="1"/>
        <v>0</v>
      </c>
      <c r="G60" s="4"/>
      <c r="H60" s="222"/>
      <c r="I60" s="222"/>
    </row>
    <row r="61" spans="1:9">
      <c r="A61" s="187">
        <v>52</v>
      </c>
      <c r="B61" s="38"/>
      <c r="C61" s="39"/>
      <c r="D61" s="39"/>
      <c r="E61" s="39"/>
      <c r="F61" s="37">
        <f t="shared" si="1"/>
        <v>0</v>
      </c>
      <c r="G61" s="4"/>
      <c r="H61" s="222"/>
      <c r="I61" s="222"/>
    </row>
    <row r="62" spans="1:9">
      <c r="A62" s="187">
        <v>53</v>
      </c>
      <c r="B62" s="38"/>
      <c r="C62" s="39"/>
      <c r="D62" s="39"/>
      <c r="E62" s="39"/>
      <c r="F62" s="37">
        <f t="shared" si="1"/>
        <v>0</v>
      </c>
      <c r="G62" s="4"/>
      <c r="H62" s="222"/>
      <c r="I62" s="222"/>
    </row>
    <row r="63" spans="1:9">
      <c r="A63" s="187">
        <v>54</v>
      </c>
      <c r="B63" s="38"/>
      <c r="C63" s="39"/>
      <c r="D63" s="39"/>
      <c r="E63" s="39"/>
      <c r="F63" s="37">
        <f t="shared" si="1"/>
        <v>0</v>
      </c>
      <c r="G63" s="4"/>
      <c r="H63" s="222"/>
      <c r="I63" s="222"/>
    </row>
    <row r="64" spans="1:9">
      <c r="A64" s="187">
        <v>55</v>
      </c>
      <c r="B64" s="38"/>
      <c r="C64" s="39"/>
      <c r="D64" s="39"/>
      <c r="E64" s="39"/>
      <c r="F64" s="37">
        <f t="shared" si="1"/>
        <v>0</v>
      </c>
      <c r="G64" s="4"/>
      <c r="H64" s="222"/>
      <c r="I64" s="222"/>
    </row>
    <row r="65" spans="1:9">
      <c r="A65" s="187">
        <v>56</v>
      </c>
      <c r="B65" s="38"/>
      <c r="C65" s="39"/>
      <c r="D65" s="39"/>
      <c r="E65" s="39"/>
      <c r="F65" s="37">
        <f t="shared" si="1"/>
        <v>0</v>
      </c>
      <c r="G65" s="4"/>
      <c r="H65" s="222"/>
      <c r="I65" s="222"/>
    </row>
    <row r="66" spans="1:9">
      <c r="A66" s="187">
        <v>57</v>
      </c>
      <c r="B66" s="38"/>
      <c r="C66" s="39"/>
      <c r="D66" s="39"/>
      <c r="E66" s="39"/>
      <c r="F66" s="37">
        <f t="shared" si="1"/>
        <v>0</v>
      </c>
      <c r="G66" s="4"/>
      <c r="H66" s="222"/>
      <c r="I66" s="222"/>
    </row>
    <row r="67" spans="1:9">
      <c r="A67" s="187">
        <v>58</v>
      </c>
      <c r="B67" s="38"/>
      <c r="C67" s="39"/>
      <c r="D67" s="39"/>
      <c r="E67" s="39"/>
      <c r="F67" s="37">
        <f t="shared" si="1"/>
        <v>0</v>
      </c>
      <c r="G67" s="4"/>
      <c r="H67" s="222"/>
      <c r="I67" s="222"/>
    </row>
    <row r="68" spans="1:9">
      <c r="A68" s="187">
        <v>59</v>
      </c>
      <c r="B68" s="38"/>
      <c r="C68" s="39"/>
      <c r="D68" s="39"/>
      <c r="E68" s="39"/>
      <c r="F68" s="37">
        <f t="shared" si="1"/>
        <v>0</v>
      </c>
      <c r="G68" s="4"/>
      <c r="H68" s="222"/>
      <c r="I68" s="222"/>
    </row>
    <row r="69" spans="1:9">
      <c r="A69" s="187">
        <v>60</v>
      </c>
      <c r="B69" s="38"/>
      <c r="C69" s="39"/>
      <c r="D69" s="39"/>
      <c r="E69" s="39"/>
      <c r="F69" s="37">
        <f t="shared" si="1"/>
        <v>0</v>
      </c>
      <c r="G69" s="4"/>
      <c r="H69" s="222"/>
      <c r="I69" s="222"/>
    </row>
    <row r="70" spans="1:9">
      <c r="A70" s="187">
        <v>61</v>
      </c>
      <c r="B70" s="38"/>
      <c r="C70" s="39"/>
      <c r="D70" s="39"/>
      <c r="E70" s="39"/>
      <c r="F70" s="37">
        <f t="shared" si="1"/>
        <v>0</v>
      </c>
      <c r="G70" s="4"/>
      <c r="H70" s="222"/>
      <c r="I70" s="222"/>
    </row>
    <row r="71" spans="1:9">
      <c r="A71" s="187">
        <v>62</v>
      </c>
      <c r="B71" s="38"/>
      <c r="C71" s="39"/>
      <c r="D71" s="39"/>
      <c r="E71" s="39"/>
      <c r="F71" s="37">
        <f t="shared" si="1"/>
        <v>0</v>
      </c>
      <c r="G71" s="4"/>
      <c r="H71" s="222"/>
      <c r="I71" s="222"/>
    </row>
    <row r="72" spans="1:9">
      <c r="A72" s="187">
        <v>63</v>
      </c>
      <c r="B72" s="38"/>
      <c r="C72" s="39"/>
      <c r="D72" s="39"/>
      <c r="E72" s="39"/>
      <c r="F72" s="37">
        <f t="shared" si="1"/>
        <v>0</v>
      </c>
      <c r="G72" s="4"/>
      <c r="H72" s="222"/>
      <c r="I72" s="222"/>
    </row>
    <row r="73" spans="1:9">
      <c r="A73" s="187">
        <v>64</v>
      </c>
      <c r="B73" s="38"/>
      <c r="C73" s="39"/>
      <c r="D73" s="39"/>
      <c r="E73" s="39"/>
      <c r="F73" s="37">
        <f t="shared" si="1"/>
        <v>0</v>
      </c>
      <c r="G73" s="4"/>
      <c r="H73" s="222"/>
      <c r="I73" s="222"/>
    </row>
    <row r="74" spans="1:9">
      <c r="A74" s="187">
        <v>65</v>
      </c>
      <c r="B74" s="38"/>
      <c r="C74" s="39"/>
      <c r="D74" s="39"/>
      <c r="E74" s="39"/>
      <c r="F74" s="37">
        <f t="shared" si="1"/>
        <v>0</v>
      </c>
      <c r="G74" s="4"/>
      <c r="H74" s="222"/>
      <c r="I74" s="222"/>
    </row>
    <row r="75" spans="1:9">
      <c r="A75" s="187">
        <v>66</v>
      </c>
      <c r="B75" s="38"/>
      <c r="C75" s="39"/>
      <c r="D75" s="39"/>
      <c r="E75" s="39"/>
      <c r="F75" s="37">
        <f t="shared" si="1"/>
        <v>0</v>
      </c>
      <c r="G75" s="4"/>
      <c r="H75" s="222"/>
      <c r="I75" s="222"/>
    </row>
    <row r="76" spans="1:9">
      <c r="A76" s="187">
        <v>67</v>
      </c>
      <c r="B76" s="38"/>
      <c r="C76" s="39"/>
      <c r="D76" s="39"/>
      <c r="E76" s="39"/>
      <c r="F76" s="37">
        <f t="shared" si="1"/>
        <v>0</v>
      </c>
      <c r="G76" s="4"/>
      <c r="H76" s="222"/>
      <c r="I76" s="222"/>
    </row>
    <row r="77" spans="1:9">
      <c r="A77" s="187">
        <v>68</v>
      </c>
      <c r="B77" s="38"/>
      <c r="C77" s="39"/>
      <c r="D77" s="39"/>
      <c r="E77" s="39"/>
      <c r="F77" s="37">
        <f t="shared" si="1"/>
        <v>0</v>
      </c>
      <c r="G77" s="4"/>
      <c r="H77" s="222"/>
      <c r="I77" s="222"/>
    </row>
    <row r="78" spans="1:9">
      <c r="A78" s="187">
        <v>69</v>
      </c>
      <c r="B78" s="38"/>
      <c r="C78" s="39"/>
      <c r="D78" s="39"/>
      <c r="E78" s="39"/>
      <c r="F78" s="37">
        <f t="shared" si="1"/>
        <v>0</v>
      </c>
      <c r="G78" s="4"/>
      <c r="H78" s="222"/>
      <c r="I78" s="222"/>
    </row>
    <row r="79" spans="1:9">
      <c r="A79" s="187">
        <v>70</v>
      </c>
      <c r="B79" s="38"/>
      <c r="C79" s="39"/>
      <c r="D79" s="39"/>
      <c r="E79" s="39"/>
      <c r="F79" s="37">
        <f t="shared" si="1"/>
        <v>0</v>
      </c>
      <c r="G79" s="4"/>
      <c r="H79" s="222"/>
      <c r="I79" s="222"/>
    </row>
    <row r="80" spans="1:9">
      <c r="A80" s="187">
        <v>71</v>
      </c>
      <c r="B80" s="38"/>
      <c r="C80" s="39"/>
      <c r="D80" s="39"/>
      <c r="E80" s="39"/>
      <c r="F80" s="37">
        <f t="shared" ref="F80:F109" si="2">SUM(B80:E80)</f>
        <v>0</v>
      </c>
      <c r="G80" s="4"/>
      <c r="H80" s="222"/>
      <c r="I80" s="222"/>
    </row>
    <row r="81" spans="1:9">
      <c r="A81" s="187">
        <v>72</v>
      </c>
      <c r="B81" s="38"/>
      <c r="C81" s="39"/>
      <c r="D81" s="39"/>
      <c r="E81" s="39"/>
      <c r="F81" s="37">
        <f t="shared" si="2"/>
        <v>0</v>
      </c>
      <c r="G81" s="4"/>
      <c r="H81" s="222"/>
      <c r="I81" s="222"/>
    </row>
    <row r="82" spans="1:9">
      <c r="A82" s="187">
        <v>73</v>
      </c>
      <c r="B82" s="38"/>
      <c r="C82" s="39"/>
      <c r="D82" s="39"/>
      <c r="E82" s="39"/>
      <c r="F82" s="37">
        <f t="shared" si="2"/>
        <v>0</v>
      </c>
      <c r="G82" s="4"/>
      <c r="H82" s="222"/>
      <c r="I82" s="222"/>
    </row>
    <row r="83" spans="1:9">
      <c r="A83" s="187">
        <v>74</v>
      </c>
      <c r="B83" s="38"/>
      <c r="C83" s="39"/>
      <c r="D83" s="39"/>
      <c r="E83" s="39"/>
      <c r="F83" s="37">
        <f t="shared" si="2"/>
        <v>0</v>
      </c>
      <c r="G83" s="4"/>
      <c r="H83" s="222"/>
      <c r="I83" s="222"/>
    </row>
    <row r="84" spans="1:9">
      <c r="A84" s="187">
        <v>75</v>
      </c>
      <c r="B84" s="38"/>
      <c r="C84" s="39"/>
      <c r="D84" s="39"/>
      <c r="E84" s="39"/>
      <c r="F84" s="37">
        <f t="shared" si="2"/>
        <v>0</v>
      </c>
      <c r="G84" s="4"/>
      <c r="H84" s="222"/>
      <c r="I84" s="222"/>
    </row>
    <row r="85" spans="1:9">
      <c r="A85" s="187">
        <v>76</v>
      </c>
      <c r="B85" s="38"/>
      <c r="C85" s="39"/>
      <c r="D85" s="39"/>
      <c r="E85" s="39"/>
      <c r="F85" s="37">
        <f t="shared" si="2"/>
        <v>0</v>
      </c>
      <c r="G85" s="4"/>
      <c r="H85" s="222"/>
      <c r="I85" s="222"/>
    </row>
    <row r="86" spans="1:9">
      <c r="A86" s="187">
        <v>77</v>
      </c>
      <c r="B86" s="38"/>
      <c r="C86" s="39"/>
      <c r="D86" s="39"/>
      <c r="E86" s="39"/>
      <c r="F86" s="37">
        <f t="shared" si="2"/>
        <v>0</v>
      </c>
      <c r="G86" s="4"/>
      <c r="H86" s="222"/>
      <c r="I86" s="222"/>
    </row>
    <row r="87" spans="1:9">
      <c r="A87" s="187">
        <v>78</v>
      </c>
      <c r="B87" s="38"/>
      <c r="C87" s="39"/>
      <c r="D87" s="39"/>
      <c r="E87" s="39"/>
      <c r="F87" s="37">
        <f t="shared" si="2"/>
        <v>0</v>
      </c>
      <c r="G87" s="4"/>
      <c r="H87" s="222"/>
      <c r="I87" s="222"/>
    </row>
    <row r="88" spans="1:9">
      <c r="A88" s="187">
        <v>79</v>
      </c>
      <c r="B88" s="38"/>
      <c r="C88" s="39"/>
      <c r="D88" s="39"/>
      <c r="E88" s="39"/>
      <c r="F88" s="37">
        <f t="shared" si="2"/>
        <v>0</v>
      </c>
      <c r="G88" s="4"/>
      <c r="H88" s="222"/>
      <c r="I88" s="222"/>
    </row>
    <row r="89" spans="1:9">
      <c r="A89" s="187">
        <v>80</v>
      </c>
      <c r="B89" s="38"/>
      <c r="C89" s="39"/>
      <c r="D89" s="39"/>
      <c r="E89" s="39"/>
      <c r="F89" s="37">
        <f t="shared" si="2"/>
        <v>0</v>
      </c>
      <c r="G89" s="4"/>
      <c r="H89" s="222"/>
      <c r="I89" s="222"/>
    </row>
    <row r="90" spans="1:9">
      <c r="A90" s="187">
        <v>81</v>
      </c>
      <c r="B90" s="38"/>
      <c r="C90" s="39"/>
      <c r="D90" s="39"/>
      <c r="E90" s="39"/>
      <c r="F90" s="37">
        <f t="shared" si="2"/>
        <v>0</v>
      </c>
      <c r="G90" s="4"/>
      <c r="H90" s="222"/>
      <c r="I90" s="222"/>
    </row>
    <row r="91" spans="1:9">
      <c r="A91" s="187">
        <v>82</v>
      </c>
      <c r="B91" s="38"/>
      <c r="C91" s="39"/>
      <c r="D91" s="39"/>
      <c r="E91" s="39"/>
      <c r="F91" s="37">
        <f t="shared" si="2"/>
        <v>0</v>
      </c>
      <c r="G91" s="4"/>
      <c r="H91" s="222"/>
      <c r="I91" s="222"/>
    </row>
    <row r="92" spans="1:9">
      <c r="A92" s="187">
        <v>83</v>
      </c>
      <c r="B92" s="38"/>
      <c r="C92" s="39"/>
      <c r="D92" s="39"/>
      <c r="E92" s="39"/>
      <c r="F92" s="37">
        <f t="shared" si="2"/>
        <v>0</v>
      </c>
      <c r="G92" s="4"/>
      <c r="H92" s="222"/>
      <c r="I92" s="222"/>
    </row>
    <row r="93" spans="1:9">
      <c r="A93" s="187">
        <v>84</v>
      </c>
      <c r="B93" s="38"/>
      <c r="C93" s="39"/>
      <c r="D93" s="39"/>
      <c r="E93" s="39"/>
      <c r="F93" s="37">
        <f t="shared" si="2"/>
        <v>0</v>
      </c>
      <c r="G93" s="4"/>
      <c r="H93" s="222"/>
      <c r="I93" s="222"/>
    </row>
    <row r="94" spans="1:9">
      <c r="A94" s="187">
        <v>85</v>
      </c>
      <c r="B94" s="38"/>
      <c r="C94" s="39"/>
      <c r="D94" s="39"/>
      <c r="E94" s="39"/>
      <c r="F94" s="37">
        <f t="shared" si="2"/>
        <v>0</v>
      </c>
      <c r="G94" s="4"/>
      <c r="H94" s="222"/>
      <c r="I94" s="222"/>
    </row>
    <row r="95" spans="1:9">
      <c r="A95" s="187">
        <v>86</v>
      </c>
      <c r="B95" s="38"/>
      <c r="C95" s="39"/>
      <c r="D95" s="39"/>
      <c r="E95" s="39"/>
      <c r="F95" s="37">
        <f t="shared" si="2"/>
        <v>0</v>
      </c>
      <c r="G95" s="4"/>
      <c r="H95" s="222"/>
      <c r="I95" s="222"/>
    </row>
    <row r="96" spans="1:9">
      <c r="A96" s="187">
        <v>87</v>
      </c>
      <c r="B96" s="38"/>
      <c r="C96" s="39"/>
      <c r="D96" s="39"/>
      <c r="E96" s="39"/>
      <c r="F96" s="37">
        <f t="shared" si="2"/>
        <v>0</v>
      </c>
      <c r="G96" s="4"/>
      <c r="H96" s="222"/>
      <c r="I96" s="222"/>
    </row>
    <row r="97" spans="1:9">
      <c r="A97" s="187">
        <v>88</v>
      </c>
      <c r="B97" s="38"/>
      <c r="C97" s="39"/>
      <c r="D97" s="39"/>
      <c r="E97" s="39"/>
      <c r="F97" s="37">
        <f t="shared" si="2"/>
        <v>0</v>
      </c>
      <c r="G97" s="4"/>
      <c r="H97" s="222"/>
      <c r="I97" s="222"/>
    </row>
    <row r="98" spans="1:9">
      <c r="A98" s="187">
        <v>89</v>
      </c>
      <c r="B98" s="38"/>
      <c r="C98" s="39"/>
      <c r="D98" s="39"/>
      <c r="E98" s="39"/>
      <c r="F98" s="37">
        <f t="shared" si="2"/>
        <v>0</v>
      </c>
      <c r="G98" s="4"/>
      <c r="H98" s="222"/>
      <c r="I98" s="222"/>
    </row>
    <row r="99" spans="1:9">
      <c r="A99" s="187">
        <v>90</v>
      </c>
      <c r="B99" s="38"/>
      <c r="C99" s="39"/>
      <c r="D99" s="39"/>
      <c r="E99" s="39"/>
      <c r="F99" s="37">
        <f t="shared" si="2"/>
        <v>0</v>
      </c>
      <c r="G99" s="4"/>
      <c r="H99" s="222"/>
      <c r="I99" s="222"/>
    </row>
    <row r="100" spans="1:9">
      <c r="A100" s="187">
        <v>91</v>
      </c>
      <c r="B100" s="38"/>
      <c r="C100" s="39"/>
      <c r="D100" s="39"/>
      <c r="E100" s="39"/>
      <c r="F100" s="37">
        <f t="shared" si="2"/>
        <v>0</v>
      </c>
      <c r="G100" s="4"/>
      <c r="H100" s="222"/>
      <c r="I100" s="222"/>
    </row>
    <row r="101" spans="1:9">
      <c r="A101" s="187">
        <v>92</v>
      </c>
      <c r="B101" s="38"/>
      <c r="C101" s="39"/>
      <c r="D101" s="39"/>
      <c r="E101" s="39"/>
      <c r="F101" s="37">
        <f t="shared" si="2"/>
        <v>0</v>
      </c>
      <c r="G101" s="4"/>
      <c r="H101" s="222"/>
      <c r="I101" s="222"/>
    </row>
    <row r="102" spans="1:9">
      <c r="A102" s="187">
        <v>93</v>
      </c>
      <c r="B102" s="38"/>
      <c r="C102" s="39"/>
      <c r="D102" s="39"/>
      <c r="E102" s="39"/>
      <c r="F102" s="37">
        <f t="shared" si="2"/>
        <v>0</v>
      </c>
      <c r="G102" s="4"/>
      <c r="H102" s="222"/>
      <c r="I102" s="222"/>
    </row>
    <row r="103" spans="1:9">
      <c r="A103" s="187">
        <v>94</v>
      </c>
      <c r="B103" s="38"/>
      <c r="C103" s="39"/>
      <c r="D103" s="39"/>
      <c r="E103" s="39"/>
      <c r="F103" s="37">
        <f t="shared" si="2"/>
        <v>0</v>
      </c>
      <c r="G103" s="4"/>
      <c r="H103" s="222"/>
      <c r="I103" s="222"/>
    </row>
    <row r="104" spans="1:9">
      <c r="A104" s="187">
        <v>95</v>
      </c>
      <c r="B104" s="38"/>
      <c r="C104" s="39"/>
      <c r="D104" s="39"/>
      <c r="E104" s="39"/>
      <c r="F104" s="37">
        <f t="shared" si="2"/>
        <v>0</v>
      </c>
      <c r="G104" s="4"/>
      <c r="H104" s="222"/>
      <c r="I104" s="222"/>
    </row>
    <row r="105" spans="1:9">
      <c r="A105" s="187">
        <v>96</v>
      </c>
      <c r="B105" s="38"/>
      <c r="C105" s="39"/>
      <c r="D105" s="39"/>
      <c r="E105" s="39"/>
      <c r="F105" s="37">
        <f t="shared" si="2"/>
        <v>0</v>
      </c>
      <c r="G105" s="4"/>
      <c r="H105" s="222"/>
      <c r="I105" s="222"/>
    </row>
    <row r="106" spans="1:9">
      <c r="A106" s="187">
        <v>97</v>
      </c>
      <c r="B106" s="38"/>
      <c r="C106" s="39"/>
      <c r="D106" s="39"/>
      <c r="E106" s="39"/>
      <c r="F106" s="37">
        <f t="shared" si="2"/>
        <v>0</v>
      </c>
      <c r="G106" s="4"/>
      <c r="H106" s="222"/>
      <c r="I106" s="222"/>
    </row>
    <row r="107" spans="1:9">
      <c r="A107" s="187">
        <v>98</v>
      </c>
      <c r="B107" s="38"/>
      <c r="C107" s="39"/>
      <c r="D107" s="39"/>
      <c r="E107" s="39"/>
      <c r="F107" s="37">
        <f t="shared" si="2"/>
        <v>0</v>
      </c>
      <c r="G107" s="4"/>
      <c r="H107" s="222"/>
      <c r="I107" s="222"/>
    </row>
    <row r="108" spans="1:9">
      <c r="A108" s="187">
        <v>99</v>
      </c>
      <c r="B108" s="38"/>
      <c r="C108" s="39"/>
      <c r="D108" s="39"/>
      <c r="E108" s="39"/>
      <c r="F108" s="37">
        <f t="shared" si="2"/>
        <v>0</v>
      </c>
      <c r="G108" s="222"/>
      <c r="H108" s="222"/>
      <c r="I108" s="222"/>
    </row>
    <row r="109" spans="1:9">
      <c r="A109" s="187">
        <v>100</v>
      </c>
      <c r="B109" s="226"/>
      <c r="C109" s="39"/>
      <c r="D109" s="39"/>
      <c r="E109" s="39"/>
      <c r="F109" s="37">
        <f t="shared" si="2"/>
        <v>0</v>
      </c>
      <c r="G109" s="222"/>
      <c r="H109" s="222"/>
      <c r="I109" s="222"/>
    </row>
    <row r="110" spans="1:9" ht="13">
      <c r="A110" s="224" t="s">
        <v>70</v>
      </c>
      <c r="B110" s="40">
        <f>SUM(B10:B109)</f>
        <v>0</v>
      </c>
      <c r="C110" s="40">
        <f>SUM(C10:C109)</f>
        <v>0</v>
      </c>
      <c r="D110" s="40">
        <f>SUM(D10:D109)</f>
        <v>0</v>
      </c>
      <c r="E110" s="40">
        <f>SUM(E10:E109)</f>
        <v>0</v>
      </c>
      <c r="F110" s="220">
        <f>SUM(F10:F109)</f>
        <v>0</v>
      </c>
      <c r="G110" s="4"/>
      <c r="H110" s="222"/>
      <c r="I110" s="222"/>
    </row>
    <row r="111" spans="1:9">
      <c r="A111" s="3"/>
      <c r="B111" s="31"/>
      <c r="C111" s="32"/>
      <c r="D111" s="32"/>
      <c r="E111" s="32"/>
      <c r="F111" s="32"/>
      <c r="G111" s="4"/>
      <c r="H111" s="222"/>
      <c r="I111" s="222"/>
    </row>
    <row r="112" spans="1:9">
      <c r="A112" s="4"/>
      <c r="B112" s="3"/>
      <c r="C112" s="4"/>
      <c r="D112" s="4"/>
      <c r="E112" s="4"/>
      <c r="F112" s="4"/>
      <c r="G112" s="4"/>
      <c r="H112" s="222"/>
      <c r="I112" s="222"/>
    </row>
    <row r="113" spans="1:9" ht="13">
      <c r="A113" s="33"/>
      <c r="B113" s="3"/>
      <c r="C113" s="4"/>
      <c r="D113" s="4"/>
      <c r="E113" s="4"/>
      <c r="F113" s="4"/>
      <c r="G113" s="4"/>
      <c r="H113" s="222"/>
      <c r="I113" s="222"/>
    </row>
    <row r="114" spans="1:9">
      <c r="A114" s="4"/>
      <c r="B114" s="4"/>
      <c r="C114" s="4"/>
      <c r="D114" s="4"/>
      <c r="E114" s="4"/>
      <c r="F114" s="4"/>
      <c r="G114" s="4"/>
      <c r="H114" s="222"/>
      <c r="I114" s="222"/>
    </row>
  </sheetData>
  <mergeCells count="6">
    <mergeCell ref="F6:H6"/>
    <mergeCell ref="F4:H4"/>
    <mergeCell ref="F3:H3"/>
    <mergeCell ref="B5:C5"/>
    <mergeCell ref="B4:C4"/>
    <mergeCell ref="B3:C3"/>
  </mergeCells>
  <phoneticPr fontId="37" type="noConversion"/>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6"/>
  <dimension ref="A1:I114"/>
  <sheetViews>
    <sheetView workbookViewId="0">
      <pane ySplit="9" topLeftCell="A97" activePane="bottomLeft" state="frozen"/>
      <selection pane="bottomLeft" activeCell="E106" sqref="E106"/>
    </sheetView>
  </sheetViews>
  <sheetFormatPr defaultColWidth="11.54296875" defaultRowHeight="12.5"/>
  <cols>
    <col min="1" max="1" width="15.7265625" style="1" customWidth="1"/>
    <col min="2" max="2" width="11.81640625" style="1" customWidth="1"/>
    <col min="3" max="9" width="11.81640625" customWidth="1"/>
  </cols>
  <sheetData>
    <row r="1" spans="1:9" s="7" customFormat="1" ht="19.5" customHeight="1">
      <c r="A1" s="34" t="s">
        <v>145</v>
      </c>
      <c r="B1" s="6"/>
      <c r="C1" s="4"/>
      <c r="D1" s="6"/>
      <c r="E1" s="6"/>
      <c r="F1" s="6"/>
      <c r="G1" s="6"/>
      <c r="H1" s="6"/>
      <c r="I1" s="6"/>
    </row>
    <row r="2" spans="1:9" s="7" customFormat="1" ht="19.5" customHeight="1" thickBot="1">
      <c r="A2" s="350" t="s">
        <v>146</v>
      </c>
      <c r="B2" s="6"/>
      <c r="C2" s="11"/>
      <c r="D2" s="6"/>
      <c r="E2" s="6"/>
      <c r="F2" s="6"/>
      <c r="G2" s="6"/>
      <c r="H2" s="6"/>
      <c r="I2" s="6"/>
    </row>
    <row r="3" spans="1:9" s="7" customFormat="1" ht="18" customHeight="1" thickBot="1">
      <c r="A3" s="346" t="s">
        <v>135</v>
      </c>
      <c r="B3" s="389" t="str">
        <f>'START HERE'!F6</f>
        <v>Korea</v>
      </c>
      <c r="C3" s="390"/>
      <c r="D3" s="6"/>
      <c r="E3" s="31" t="s">
        <v>45</v>
      </c>
      <c r="F3" s="386" t="s">
        <v>99</v>
      </c>
      <c r="G3" s="387"/>
      <c r="H3" s="388"/>
      <c r="I3" s="36"/>
    </row>
    <row r="4" spans="1:9" s="7" customFormat="1" ht="18" customHeight="1">
      <c r="A4" s="12" t="s">
        <v>22</v>
      </c>
      <c r="B4" s="389" t="str">
        <f>'START HERE'!F5</f>
        <v>Jack mackerel</v>
      </c>
      <c r="C4" s="390"/>
      <c r="D4" s="26"/>
      <c r="E4" s="13"/>
      <c r="F4" s="83"/>
      <c r="G4" s="200"/>
      <c r="H4" s="84"/>
      <c r="I4" s="36"/>
    </row>
    <row r="5" spans="1:9" s="7" customFormat="1" ht="18" customHeight="1">
      <c r="A5" s="12" t="s">
        <v>15</v>
      </c>
      <c r="B5" s="395">
        <f>'START HERE'!$K$3</f>
        <v>2018</v>
      </c>
      <c r="C5" s="396"/>
      <c r="D5" s="6"/>
      <c r="E5" s="35" t="s">
        <v>46</v>
      </c>
      <c r="F5" s="85" t="s">
        <v>133</v>
      </c>
      <c r="G5" s="198"/>
      <c r="H5" s="86"/>
      <c r="I5" s="36"/>
    </row>
    <row r="6" spans="1:9" s="7" customFormat="1" ht="18" customHeight="1" thickBot="1">
      <c r="A6" s="12"/>
      <c r="B6" s="81"/>
      <c r="C6" s="82"/>
      <c r="D6" s="6"/>
      <c r="E6" s="35" t="s">
        <v>16</v>
      </c>
      <c r="F6" s="384">
        <f>'START HERE'!$F8</f>
        <v>42252</v>
      </c>
      <c r="G6" s="385"/>
      <c r="H6" s="391"/>
      <c r="I6" s="36"/>
    </row>
    <row r="7" spans="1:9" s="7" customFormat="1" ht="9.75" customHeight="1">
      <c r="A7" s="6"/>
      <c r="B7" s="6"/>
      <c r="C7" s="6"/>
      <c r="D7" s="6"/>
      <c r="E7" s="6"/>
      <c r="F7" s="6"/>
      <c r="G7" s="6"/>
      <c r="H7" s="6"/>
      <c r="I7" s="6"/>
    </row>
    <row r="8" spans="1:9" ht="18" customHeight="1">
      <c r="A8" s="27" t="s">
        <v>92</v>
      </c>
      <c r="B8" s="27" t="s">
        <v>60</v>
      </c>
      <c r="C8" s="27" t="s">
        <v>37</v>
      </c>
      <c r="D8" s="27" t="s">
        <v>38</v>
      </c>
      <c r="E8" s="27" t="s">
        <v>39</v>
      </c>
      <c r="F8" s="27" t="s">
        <v>48</v>
      </c>
      <c r="G8" s="333"/>
      <c r="H8" s="222"/>
      <c r="I8" s="222"/>
    </row>
    <row r="9" spans="1:9" ht="18">
      <c r="A9" s="28" t="s">
        <v>49</v>
      </c>
      <c r="B9" s="228">
        <f>'START HERE'!$K$3</f>
        <v>2018</v>
      </c>
      <c r="C9" s="228">
        <f>'START HERE'!$K$3</f>
        <v>2018</v>
      </c>
      <c r="D9" s="228">
        <f>'START HERE'!$K$3</f>
        <v>2018</v>
      </c>
      <c r="E9" s="228">
        <f>'START HERE'!$K$3</f>
        <v>2018</v>
      </c>
      <c r="F9" s="227">
        <f>'START HERE'!$K$3</f>
        <v>2018</v>
      </c>
      <c r="G9" s="334"/>
      <c r="H9" s="222"/>
      <c r="I9" s="222"/>
    </row>
    <row r="10" spans="1:9">
      <c r="A10" s="187">
        <v>1</v>
      </c>
      <c r="B10" s="38"/>
      <c r="C10" s="39"/>
      <c r="D10" s="39"/>
      <c r="E10" s="39"/>
      <c r="F10" s="37">
        <f t="shared" ref="F10:F15" si="0">SUM(B10:E10)</f>
        <v>0</v>
      </c>
      <c r="G10" s="335"/>
      <c r="H10" s="222"/>
      <c r="I10" s="222"/>
    </row>
    <row r="11" spans="1:9">
      <c r="A11" s="187">
        <v>2</v>
      </c>
      <c r="B11" s="38"/>
      <c r="C11" s="39"/>
      <c r="D11" s="39"/>
      <c r="E11" s="39"/>
      <c r="F11" s="37">
        <f t="shared" si="0"/>
        <v>0</v>
      </c>
      <c r="G11" s="335"/>
      <c r="H11" s="222"/>
      <c r="I11" s="222"/>
    </row>
    <row r="12" spans="1:9">
      <c r="A12" s="187">
        <v>3</v>
      </c>
      <c r="B12" s="38"/>
      <c r="C12" s="39"/>
      <c r="D12" s="39"/>
      <c r="E12" s="39"/>
      <c r="F12" s="37">
        <f t="shared" si="0"/>
        <v>0</v>
      </c>
      <c r="G12" s="335"/>
      <c r="H12" s="222"/>
      <c r="I12" s="222"/>
    </row>
    <row r="13" spans="1:9">
      <c r="A13" s="187">
        <v>4</v>
      </c>
      <c r="B13" s="38"/>
      <c r="C13" s="39"/>
      <c r="D13" s="39"/>
      <c r="E13" s="39"/>
      <c r="F13" s="37">
        <f t="shared" si="0"/>
        <v>0</v>
      </c>
      <c r="G13" s="335"/>
      <c r="H13" s="222"/>
      <c r="I13" s="222"/>
    </row>
    <row r="14" spans="1:9">
      <c r="A14" s="187">
        <v>5</v>
      </c>
      <c r="B14" s="38"/>
      <c r="C14" s="39"/>
      <c r="D14" s="39"/>
      <c r="E14" s="39"/>
      <c r="F14" s="37">
        <f t="shared" si="0"/>
        <v>0</v>
      </c>
      <c r="G14" s="335"/>
      <c r="H14" s="222"/>
      <c r="I14" s="222"/>
    </row>
    <row r="15" spans="1:9">
      <c r="A15" s="187">
        <v>6</v>
      </c>
      <c r="B15" s="38"/>
      <c r="C15" s="39"/>
      <c r="D15" s="39"/>
      <c r="E15" s="39"/>
      <c r="F15" s="37">
        <f t="shared" si="0"/>
        <v>0</v>
      </c>
      <c r="G15" s="335"/>
      <c r="H15" s="222"/>
      <c r="I15" s="222"/>
    </row>
    <row r="16" spans="1:9">
      <c r="A16" s="187">
        <v>7</v>
      </c>
      <c r="B16" s="38"/>
      <c r="C16" s="39"/>
      <c r="D16" s="39"/>
      <c r="E16" s="39"/>
      <c r="F16" s="37">
        <f t="shared" ref="F16:F79" si="1">SUM(B16:E16)</f>
        <v>0</v>
      </c>
      <c r="G16" s="335"/>
      <c r="H16" s="222"/>
      <c r="I16" s="222"/>
    </row>
    <row r="17" spans="1:9">
      <c r="A17" s="187">
        <v>8</v>
      </c>
      <c r="B17" s="38"/>
      <c r="C17" s="39"/>
      <c r="D17" s="39"/>
      <c r="E17" s="39"/>
      <c r="F17" s="37">
        <f t="shared" si="1"/>
        <v>0</v>
      </c>
      <c r="G17" s="335"/>
      <c r="H17" s="222"/>
      <c r="I17" s="222"/>
    </row>
    <row r="18" spans="1:9">
      <c r="A18" s="187">
        <v>9</v>
      </c>
      <c r="B18" s="38"/>
      <c r="C18" s="39"/>
      <c r="D18" s="39"/>
      <c r="E18" s="39"/>
      <c r="F18" s="37">
        <f t="shared" si="1"/>
        <v>0</v>
      </c>
      <c r="G18" s="335"/>
      <c r="H18" s="222"/>
      <c r="I18" s="222"/>
    </row>
    <row r="19" spans="1:9">
      <c r="A19" s="187">
        <v>10</v>
      </c>
      <c r="B19" s="38"/>
      <c r="C19" s="39"/>
      <c r="D19" s="39"/>
      <c r="E19" s="39"/>
      <c r="F19" s="37">
        <f t="shared" si="1"/>
        <v>0</v>
      </c>
      <c r="G19" s="335"/>
      <c r="H19" s="222"/>
      <c r="I19" s="222"/>
    </row>
    <row r="20" spans="1:9">
      <c r="A20" s="187">
        <v>11</v>
      </c>
      <c r="B20" s="38"/>
      <c r="C20" s="39"/>
      <c r="D20" s="39"/>
      <c r="E20" s="39"/>
      <c r="F20" s="37">
        <f t="shared" si="1"/>
        <v>0</v>
      </c>
      <c r="G20" s="335"/>
      <c r="H20" s="222"/>
      <c r="I20" s="222"/>
    </row>
    <row r="21" spans="1:9">
      <c r="A21" s="187">
        <v>12</v>
      </c>
      <c r="B21" s="38"/>
      <c r="C21" s="39"/>
      <c r="D21" s="39"/>
      <c r="E21" s="39"/>
      <c r="F21" s="37">
        <f t="shared" si="1"/>
        <v>0</v>
      </c>
      <c r="G21" s="335"/>
      <c r="H21" s="222"/>
      <c r="I21" s="222"/>
    </row>
    <row r="22" spans="1:9">
      <c r="A22" s="187">
        <v>13</v>
      </c>
      <c r="B22" s="38"/>
      <c r="C22" s="39"/>
      <c r="D22" s="39"/>
      <c r="E22" s="39"/>
      <c r="F22" s="37">
        <f t="shared" si="1"/>
        <v>0</v>
      </c>
      <c r="G22" s="335"/>
      <c r="H22" s="222"/>
      <c r="I22" s="222"/>
    </row>
    <row r="23" spans="1:9">
      <c r="A23" s="187">
        <v>14</v>
      </c>
      <c r="B23" s="38"/>
      <c r="C23" s="39"/>
      <c r="D23" s="39"/>
      <c r="E23" s="39"/>
      <c r="F23" s="37">
        <f t="shared" si="1"/>
        <v>0</v>
      </c>
      <c r="G23" s="335"/>
      <c r="H23" s="222"/>
      <c r="I23" s="222"/>
    </row>
    <row r="24" spans="1:9">
      <c r="A24" s="187">
        <v>15</v>
      </c>
      <c r="B24" s="38"/>
      <c r="C24" s="39"/>
      <c r="D24" s="39"/>
      <c r="E24" s="39"/>
      <c r="F24" s="37">
        <f t="shared" si="1"/>
        <v>0</v>
      </c>
      <c r="G24" s="335"/>
      <c r="H24" s="222"/>
      <c r="I24" s="222"/>
    </row>
    <row r="25" spans="1:9">
      <c r="A25" s="187">
        <v>16</v>
      </c>
      <c r="B25" s="38"/>
      <c r="C25" s="39"/>
      <c r="D25" s="39"/>
      <c r="E25" s="39"/>
      <c r="F25" s="37">
        <f t="shared" si="1"/>
        <v>0</v>
      </c>
      <c r="G25" s="335"/>
      <c r="H25" s="222"/>
      <c r="I25" s="222"/>
    </row>
    <row r="26" spans="1:9">
      <c r="A26" s="187">
        <v>17</v>
      </c>
      <c r="B26" s="38"/>
      <c r="C26" s="39"/>
      <c r="D26" s="39"/>
      <c r="E26" s="39"/>
      <c r="F26" s="37">
        <f t="shared" si="1"/>
        <v>0</v>
      </c>
      <c r="G26" s="335"/>
      <c r="H26" s="222"/>
      <c r="I26" s="222"/>
    </row>
    <row r="27" spans="1:9">
      <c r="A27" s="187">
        <v>18</v>
      </c>
      <c r="B27" s="38"/>
      <c r="C27" s="39"/>
      <c r="D27" s="39"/>
      <c r="E27" s="39"/>
      <c r="F27" s="37">
        <f t="shared" si="1"/>
        <v>0</v>
      </c>
      <c r="G27" s="335"/>
      <c r="H27" s="222"/>
      <c r="I27" s="222"/>
    </row>
    <row r="28" spans="1:9">
      <c r="A28" s="187">
        <v>19</v>
      </c>
      <c r="B28" s="38"/>
      <c r="C28" s="39"/>
      <c r="D28" s="39"/>
      <c r="E28" s="39"/>
      <c r="F28" s="37">
        <f t="shared" si="1"/>
        <v>0</v>
      </c>
      <c r="G28" s="335"/>
      <c r="H28" s="222"/>
      <c r="I28" s="222"/>
    </row>
    <row r="29" spans="1:9">
      <c r="A29" s="187">
        <v>20</v>
      </c>
      <c r="B29" s="38"/>
      <c r="C29" s="39"/>
      <c r="D29" s="39"/>
      <c r="E29" s="39"/>
      <c r="F29" s="37">
        <f t="shared" si="1"/>
        <v>0</v>
      </c>
      <c r="G29" s="335"/>
      <c r="H29" s="222"/>
      <c r="I29" s="222"/>
    </row>
    <row r="30" spans="1:9">
      <c r="A30" s="187">
        <v>21</v>
      </c>
      <c r="B30" s="38"/>
      <c r="C30" s="39"/>
      <c r="D30" s="39"/>
      <c r="E30" s="39"/>
      <c r="F30" s="37">
        <f t="shared" si="1"/>
        <v>0</v>
      </c>
      <c r="G30" s="335"/>
      <c r="H30" s="222"/>
      <c r="I30" s="222"/>
    </row>
    <row r="31" spans="1:9">
      <c r="A31" s="187">
        <v>22</v>
      </c>
      <c r="B31" s="38"/>
      <c r="C31" s="39"/>
      <c r="D31" s="39"/>
      <c r="E31" s="39"/>
      <c r="F31" s="37">
        <f t="shared" si="1"/>
        <v>0</v>
      </c>
      <c r="G31" s="335"/>
      <c r="H31" s="222"/>
      <c r="I31" s="222"/>
    </row>
    <row r="32" spans="1:9">
      <c r="A32" s="187">
        <v>23</v>
      </c>
      <c r="B32" s="38"/>
      <c r="C32" s="39"/>
      <c r="D32" s="39"/>
      <c r="E32" s="39"/>
      <c r="F32" s="37">
        <f t="shared" si="1"/>
        <v>0</v>
      </c>
      <c r="G32" s="335"/>
      <c r="H32" s="222"/>
      <c r="I32" s="222"/>
    </row>
    <row r="33" spans="1:9">
      <c r="A33" s="187">
        <v>24</v>
      </c>
      <c r="B33" s="38"/>
      <c r="C33" s="39"/>
      <c r="D33" s="39"/>
      <c r="E33" s="39"/>
      <c r="F33" s="37">
        <f t="shared" si="1"/>
        <v>0</v>
      </c>
      <c r="G33" s="335"/>
      <c r="H33" s="222"/>
      <c r="I33" s="222"/>
    </row>
    <row r="34" spans="1:9">
      <c r="A34" s="187">
        <v>25</v>
      </c>
      <c r="B34" s="38"/>
      <c r="C34" s="39"/>
      <c r="D34" s="39"/>
      <c r="E34" s="39"/>
      <c r="F34" s="37">
        <f t="shared" si="1"/>
        <v>0</v>
      </c>
      <c r="G34" s="335"/>
      <c r="H34" s="222"/>
      <c r="I34" s="222"/>
    </row>
    <row r="35" spans="1:9">
      <c r="A35" s="187">
        <v>26</v>
      </c>
      <c r="B35" s="38"/>
      <c r="C35" s="39"/>
      <c r="D35" s="39"/>
      <c r="E35" s="39"/>
      <c r="F35" s="37">
        <f t="shared" si="1"/>
        <v>0</v>
      </c>
      <c r="G35" s="335"/>
      <c r="H35" s="222"/>
      <c r="I35" s="222"/>
    </row>
    <row r="36" spans="1:9">
      <c r="A36" s="187">
        <v>27</v>
      </c>
      <c r="B36" s="38"/>
      <c r="C36" s="39"/>
      <c r="D36" s="39"/>
      <c r="E36" s="39"/>
      <c r="F36" s="37">
        <f t="shared" si="1"/>
        <v>0</v>
      </c>
      <c r="G36" s="335"/>
      <c r="H36" s="222"/>
      <c r="I36" s="222"/>
    </row>
    <row r="37" spans="1:9">
      <c r="A37" s="187">
        <v>28</v>
      </c>
      <c r="B37" s="38"/>
      <c r="C37" s="39"/>
      <c r="D37" s="39"/>
      <c r="E37" s="39"/>
      <c r="F37" s="37">
        <f t="shared" si="1"/>
        <v>0</v>
      </c>
      <c r="G37" s="335"/>
      <c r="H37" s="222"/>
      <c r="I37" s="222"/>
    </row>
    <row r="38" spans="1:9">
      <c r="A38" s="187">
        <v>29</v>
      </c>
      <c r="B38" s="38"/>
      <c r="C38" s="39"/>
      <c r="D38" s="39"/>
      <c r="E38" s="39"/>
      <c r="F38" s="37">
        <f t="shared" si="1"/>
        <v>0</v>
      </c>
      <c r="G38" s="335"/>
      <c r="H38" s="222"/>
      <c r="I38" s="222"/>
    </row>
    <row r="39" spans="1:9">
      <c r="A39" s="187">
        <v>30</v>
      </c>
      <c r="B39" s="38"/>
      <c r="C39" s="39"/>
      <c r="D39" s="39"/>
      <c r="E39" s="39"/>
      <c r="F39" s="37">
        <f t="shared" si="1"/>
        <v>0</v>
      </c>
      <c r="G39" s="335"/>
      <c r="H39" s="222"/>
      <c r="I39" s="222"/>
    </row>
    <row r="40" spans="1:9">
      <c r="A40" s="187">
        <v>31</v>
      </c>
      <c r="B40" s="38"/>
      <c r="C40" s="39"/>
      <c r="D40" s="39"/>
      <c r="E40" s="39"/>
      <c r="F40" s="37">
        <f t="shared" si="1"/>
        <v>0</v>
      </c>
      <c r="G40" s="335"/>
      <c r="H40" s="222"/>
      <c r="I40" s="222"/>
    </row>
    <row r="41" spans="1:9">
      <c r="A41" s="187">
        <v>32</v>
      </c>
      <c r="B41" s="38"/>
      <c r="C41" s="39"/>
      <c r="D41" s="39"/>
      <c r="E41" s="39"/>
      <c r="F41" s="37">
        <f t="shared" si="1"/>
        <v>0</v>
      </c>
      <c r="G41" s="335"/>
      <c r="H41" s="222"/>
      <c r="I41" s="222"/>
    </row>
    <row r="42" spans="1:9">
      <c r="A42" s="187">
        <v>33</v>
      </c>
      <c r="B42" s="38"/>
      <c r="C42" s="39"/>
      <c r="D42" s="39"/>
      <c r="E42" s="39"/>
      <c r="F42" s="37">
        <f t="shared" si="1"/>
        <v>0</v>
      </c>
      <c r="G42" s="335"/>
      <c r="H42" s="222"/>
      <c r="I42" s="222"/>
    </row>
    <row r="43" spans="1:9">
      <c r="A43" s="187">
        <v>34</v>
      </c>
      <c r="B43" s="38"/>
      <c r="C43" s="39"/>
      <c r="D43" s="39"/>
      <c r="E43" s="39"/>
      <c r="F43" s="37">
        <f t="shared" si="1"/>
        <v>0</v>
      </c>
      <c r="G43" s="335"/>
      <c r="H43" s="222"/>
      <c r="I43" s="222"/>
    </row>
    <row r="44" spans="1:9">
      <c r="A44" s="187">
        <v>35</v>
      </c>
      <c r="B44" s="38"/>
      <c r="C44" s="39"/>
      <c r="D44" s="39"/>
      <c r="E44" s="39"/>
      <c r="F44" s="37">
        <f t="shared" si="1"/>
        <v>0</v>
      </c>
      <c r="G44" s="335"/>
      <c r="H44" s="222"/>
      <c r="I44" s="222"/>
    </row>
    <row r="45" spans="1:9">
      <c r="A45" s="187">
        <v>36</v>
      </c>
      <c r="B45" s="38"/>
      <c r="C45" s="39"/>
      <c r="D45" s="39"/>
      <c r="E45" s="39"/>
      <c r="F45" s="37">
        <f t="shared" si="1"/>
        <v>0</v>
      </c>
      <c r="G45" s="335"/>
      <c r="H45" s="222"/>
      <c r="I45" s="222"/>
    </row>
    <row r="46" spans="1:9">
      <c r="A46" s="187">
        <v>37</v>
      </c>
      <c r="B46" s="38"/>
      <c r="C46" s="39"/>
      <c r="D46" s="39"/>
      <c r="E46" s="39"/>
      <c r="F46" s="37">
        <f t="shared" si="1"/>
        <v>0</v>
      </c>
      <c r="G46" s="335"/>
      <c r="H46" s="222"/>
      <c r="I46" s="222"/>
    </row>
    <row r="47" spans="1:9">
      <c r="A47" s="187">
        <v>38</v>
      </c>
      <c r="B47" s="38"/>
      <c r="C47" s="39"/>
      <c r="D47" s="39"/>
      <c r="E47" s="39"/>
      <c r="F47" s="37">
        <f t="shared" si="1"/>
        <v>0</v>
      </c>
      <c r="G47" s="335"/>
      <c r="H47" s="222"/>
      <c r="I47" s="222"/>
    </row>
    <row r="48" spans="1:9">
      <c r="A48" s="187">
        <v>39</v>
      </c>
      <c r="B48" s="38"/>
      <c r="C48" s="39"/>
      <c r="D48" s="39"/>
      <c r="E48" s="39"/>
      <c r="F48" s="37">
        <f t="shared" si="1"/>
        <v>0</v>
      </c>
      <c r="G48" s="335"/>
      <c r="H48" s="222"/>
      <c r="I48" s="222"/>
    </row>
    <row r="49" spans="1:9">
      <c r="A49" s="187">
        <v>40</v>
      </c>
      <c r="B49" s="38"/>
      <c r="C49" s="39"/>
      <c r="D49" s="39"/>
      <c r="E49" s="39"/>
      <c r="F49" s="37">
        <f t="shared" si="1"/>
        <v>0</v>
      </c>
      <c r="G49" s="335"/>
      <c r="H49" s="222"/>
      <c r="I49" s="222"/>
    </row>
    <row r="50" spans="1:9">
      <c r="A50" s="187">
        <v>41</v>
      </c>
      <c r="B50" s="38"/>
      <c r="C50" s="39"/>
      <c r="D50" s="39"/>
      <c r="E50" s="39"/>
      <c r="F50" s="37">
        <f t="shared" si="1"/>
        <v>0</v>
      </c>
      <c r="G50" s="335"/>
      <c r="H50" s="222"/>
      <c r="I50" s="222"/>
    </row>
    <row r="51" spans="1:9">
      <c r="A51" s="187">
        <v>42</v>
      </c>
      <c r="B51" s="38"/>
      <c r="C51" s="39"/>
      <c r="D51" s="39"/>
      <c r="E51" s="39"/>
      <c r="F51" s="37">
        <f t="shared" si="1"/>
        <v>0</v>
      </c>
      <c r="G51" s="335"/>
      <c r="H51" s="222"/>
      <c r="I51" s="222"/>
    </row>
    <row r="52" spans="1:9">
      <c r="A52" s="187">
        <v>43</v>
      </c>
      <c r="B52" s="38"/>
      <c r="C52" s="39"/>
      <c r="D52" s="39"/>
      <c r="E52" s="39"/>
      <c r="F52" s="37">
        <f t="shared" si="1"/>
        <v>0</v>
      </c>
      <c r="G52" s="335"/>
      <c r="H52" s="222"/>
      <c r="I52" s="222"/>
    </row>
    <row r="53" spans="1:9">
      <c r="A53" s="187">
        <v>44</v>
      </c>
      <c r="B53" s="38"/>
      <c r="C53" s="39"/>
      <c r="D53" s="39"/>
      <c r="E53" s="39"/>
      <c r="F53" s="37">
        <f t="shared" si="1"/>
        <v>0</v>
      </c>
      <c r="G53" s="335"/>
      <c r="H53" s="222"/>
      <c r="I53" s="222"/>
    </row>
    <row r="54" spans="1:9">
      <c r="A54" s="187">
        <v>45</v>
      </c>
      <c r="B54" s="38"/>
      <c r="C54" s="39"/>
      <c r="D54" s="39"/>
      <c r="E54" s="39"/>
      <c r="F54" s="37">
        <f t="shared" si="1"/>
        <v>0</v>
      </c>
      <c r="G54" s="335"/>
      <c r="H54" s="222"/>
      <c r="I54" s="222"/>
    </row>
    <row r="55" spans="1:9">
      <c r="A55" s="187">
        <v>46</v>
      </c>
      <c r="B55" s="38"/>
      <c r="C55" s="39"/>
      <c r="D55" s="39"/>
      <c r="E55" s="39"/>
      <c r="F55" s="37">
        <f t="shared" si="1"/>
        <v>0</v>
      </c>
      <c r="G55" s="335"/>
      <c r="H55" s="222"/>
      <c r="I55" s="222"/>
    </row>
    <row r="56" spans="1:9">
      <c r="A56" s="187">
        <v>47</v>
      </c>
      <c r="B56" s="38"/>
      <c r="C56" s="39"/>
      <c r="D56" s="39"/>
      <c r="E56" s="39"/>
      <c r="F56" s="37">
        <f t="shared" si="1"/>
        <v>0</v>
      </c>
      <c r="G56" s="335"/>
      <c r="H56" s="222"/>
      <c r="I56" s="222"/>
    </row>
    <row r="57" spans="1:9">
      <c r="A57" s="187">
        <v>48</v>
      </c>
      <c r="B57" s="38"/>
      <c r="C57" s="39"/>
      <c r="D57" s="39"/>
      <c r="E57" s="39"/>
      <c r="F57" s="37">
        <f t="shared" si="1"/>
        <v>0</v>
      </c>
      <c r="G57" s="335"/>
      <c r="H57" s="222"/>
      <c r="I57" s="222"/>
    </row>
    <row r="58" spans="1:9">
      <c r="A58" s="187">
        <v>49</v>
      </c>
      <c r="B58" s="38"/>
      <c r="C58" s="39"/>
      <c r="D58" s="39"/>
      <c r="E58" s="39"/>
      <c r="F58" s="37">
        <f t="shared" si="1"/>
        <v>0</v>
      </c>
      <c r="G58" s="335"/>
      <c r="H58" s="222"/>
      <c r="I58" s="222"/>
    </row>
    <row r="59" spans="1:9">
      <c r="A59" s="187">
        <v>50</v>
      </c>
      <c r="B59" s="38"/>
      <c r="C59" s="39"/>
      <c r="D59" s="39"/>
      <c r="E59" s="39"/>
      <c r="F59" s="37">
        <f t="shared" si="1"/>
        <v>0</v>
      </c>
      <c r="G59" s="335"/>
      <c r="H59" s="222"/>
      <c r="I59" s="222"/>
    </row>
    <row r="60" spans="1:9">
      <c r="A60" s="187">
        <v>51</v>
      </c>
      <c r="B60" s="38"/>
      <c r="C60" s="39"/>
      <c r="D60" s="39"/>
      <c r="E60" s="39"/>
      <c r="F60" s="37">
        <f t="shared" si="1"/>
        <v>0</v>
      </c>
      <c r="G60" s="335"/>
      <c r="H60" s="222"/>
      <c r="I60" s="222"/>
    </row>
    <row r="61" spans="1:9">
      <c r="A61" s="187">
        <v>52</v>
      </c>
      <c r="B61" s="38"/>
      <c r="C61" s="39"/>
      <c r="D61" s="39"/>
      <c r="E61" s="39"/>
      <c r="F61" s="37">
        <f t="shared" si="1"/>
        <v>0</v>
      </c>
      <c r="G61" s="335"/>
      <c r="H61" s="222"/>
      <c r="I61" s="222"/>
    </row>
    <row r="62" spans="1:9">
      <c r="A62" s="187">
        <v>53</v>
      </c>
      <c r="B62" s="38"/>
      <c r="C62" s="39"/>
      <c r="D62" s="39"/>
      <c r="E62" s="39"/>
      <c r="F62" s="37">
        <f t="shared" si="1"/>
        <v>0</v>
      </c>
      <c r="G62" s="335"/>
      <c r="H62" s="222"/>
      <c r="I62" s="222"/>
    </row>
    <row r="63" spans="1:9">
      <c r="A63" s="187">
        <v>54</v>
      </c>
      <c r="B63" s="38"/>
      <c r="C63" s="39"/>
      <c r="D63" s="39"/>
      <c r="E63" s="39"/>
      <c r="F63" s="37">
        <f t="shared" si="1"/>
        <v>0</v>
      </c>
      <c r="G63" s="335"/>
      <c r="H63" s="222"/>
      <c r="I63" s="222"/>
    </row>
    <row r="64" spans="1:9">
      <c r="A64" s="187">
        <v>55</v>
      </c>
      <c r="B64" s="38"/>
      <c r="C64" s="39"/>
      <c r="D64" s="39"/>
      <c r="E64" s="39"/>
      <c r="F64" s="37">
        <f t="shared" si="1"/>
        <v>0</v>
      </c>
      <c r="G64" s="335"/>
      <c r="H64" s="222"/>
      <c r="I64" s="222"/>
    </row>
    <row r="65" spans="1:9">
      <c r="A65" s="187">
        <v>56</v>
      </c>
      <c r="B65" s="38"/>
      <c r="C65" s="39"/>
      <c r="D65" s="39"/>
      <c r="E65" s="39"/>
      <c r="F65" s="37">
        <f t="shared" si="1"/>
        <v>0</v>
      </c>
      <c r="G65" s="335"/>
      <c r="H65" s="222"/>
      <c r="I65" s="222"/>
    </row>
    <row r="66" spans="1:9">
      <c r="A66" s="187">
        <v>57</v>
      </c>
      <c r="B66" s="38"/>
      <c r="C66" s="39"/>
      <c r="D66" s="39"/>
      <c r="E66" s="39"/>
      <c r="F66" s="37">
        <f t="shared" si="1"/>
        <v>0</v>
      </c>
      <c r="G66" s="335"/>
      <c r="H66" s="222"/>
      <c r="I66" s="222"/>
    </row>
    <row r="67" spans="1:9">
      <c r="A67" s="187">
        <v>58</v>
      </c>
      <c r="B67" s="38"/>
      <c r="C67" s="39"/>
      <c r="D67" s="39"/>
      <c r="E67" s="39"/>
      <c r="F67" s="37">
        <f t="shared" si="1"/>
        <v>0</v>
      </c>
      <c r="G67" s="335"/>
      <c r="H67" s="222"/>
      <c r="I67" s="222"/>
    </row>
    <row r="68" spans="1:9">
      <c r="A68" s="187">
        <v>59</v>
      </c>
      <c r="B68" s="38"/>
      <c r="C68" s="39"/>
      <c r="D68" s="39"/>
      <c r="E68" s="39"/>
      <c r="F68" s="37">
        <f t="shared" si="1"/>
        <v>0</v>
      </c>
      <c r="G68" s="335"/>
      <c r="H68" s="222"/>
      <c r="I68" s="222"/>
    </row>
    <row r="69" spans="1:9">
      <c r="A69" s="187">
        <v>60</v>
      </c>
      <c r="B69" s="38"/>
      <c r="C69" s="39"/>
      <c r="D69" s="39"/>
      <c r="E69" s="39"/>
      <c r="F69" s="37">
        <f t="shared" si="1"/>
        <v>0</v>
      </c>
      <c r="G69" s="335"/>
      <c r="H69" s="222"/>
      <c r="I69" s="222"/>
    </row>
    <row r="70" spans="1:9">
      <c r="A70" s="187">
        <v>61</v>
      </c>
      <c r="B70" s="38"/>
      <c r="C70" s="39"/>
      <c r="D70" s="39"/>
      <c r="E70" s="39"/>
      <c r="F70" s="37">
        <f t="shared" si="1"/>
        <v>0</v>
      </c>
      <c r="G70" s="335"/>
      <c r="H70" s="222"/>
      <c r="I70" s="222"/>
    </row>
    <row r="71" spans="1:9">
      <c r="A71" s="187">
        <v>62</v>
      </c>
      <c r="B71" s="38"/>
      <c r="C71" s="39"/>
      <c r="D71" s="39"/>
      <c r="E71" s="39"/>
      <c r="F71" s="37">
        <f t="shared" si="1"/>
        <v>0</v>
      </c>
      <c r="G71" s="335"/>
      <c r="H71" s="222"/>
      <c r="I71" s="222"/>
    </row>
    <row r="72" spans="1:9">
      <c r="A72" s="187">
        <v>63</v>
      </c>
      <c r="B72" s="38"/>
      <c r="C72" s="39"/>
      <c r="D72" s="39"/>
      <c r="E72" s="39"/>
      <c r="F72" s="37">
        <f t="shared" si="1"/>
        <v>0</v>
      </c>
      <c r="G72" s="335"/>
      <c r="H72" s="222"/>
      <c r="I72" s="222"/>
    </row>
    <row r="73" spans="1:9">
      <c r="A73" s="187">
        <v>64</v>
      </c>
      <c r="B73" s="38"/>
      <c r="C73" s="39"/>
      <c r="D73" s="39"/>
      <c r="E73" s="39"/>
      <c r="F73" s="37">
        <f t="shared" si="1"/>
        <v>0</v>
      </c>
      <c r="G73" s="335"/>
      <c r="H73" s="222"/>
      <c r="I73" s="222"/>
    </row>
    <row r="74" spans="1:9">
      <c r="A74" s="187">
        <v>65</v>
      </c>
      <c r="B74" s="38"/>
      <c r="C74" s="39"/>
      <c r="D74" s="39"/>
      <c r="E74" s="39"/>
      <c r="F74" s="37">
        <f t="shared" si="1"/>
        <v>0</v>
      </c>
      <c r="G74" s="335"/>
      <c r="H74" s="222"/>
      <c r="I74" s="222"/>
    </row>
    <row r="75" spans="1:9">
      <c r="A75" s="187">
        <v>66</v>
      </c>
      <c r="B75" s="38"/>
      <c r="C75" s="39"/>
      <c r="D75" s="39"/>
      <c r="E75" s="39"/>
      <c r="F75" s="37">
        <f t="shared" si="1"/>
        <v>0</v>
      </c>
      <c r="G75" s="335"/>
      <c r="H75" s="222"/>
      <c r="I75" s="222"/>
    </row>
    <row r="76" spans="1:9">
      <c r="A76" s="187">
        <v>67</v>
      </c>
      <c r="B76" s="38"/>
      <c r="C76" s="39"/>
      <c r="D76" s="39"/>
      <c r="E76" s="39"/>
      <c r="F76" s="37">
        <f t="shared" si="1"/>
        <v>0</v>
      </c>
      <c r="G76" s="335"/>
      <c r="H76" s="222"/>
      <c r="I76" s="222"/>
    </row>
    <row r="77" spans="1:9">
      <c r="A77" s="187">
        <v>68</v>
      </c>
      <c r="B77" s="38"/>
      <c r="C77" s="39"/>
      <c r="D77" s="39"/>
      <c r="E77" s="39"/>
      <c r="F77" s="37">
        <f t="shared" si="1"/>
        <v>0</v>
      </c>
      <c r="G77" s="335"/>
      <c r="H77" s="222"/>
      <c r="I77" s="222"/>
    </row>
    <row r="78" spans="1:9">
      <c r="A78" s="187">
        <v>69</v>
      </c>
      <c r="B78" s="38"/>
      <c r="C78" s="39"/>
      <c r="D78" s="39"/>
      <c r="E78" s="39"/>
      <c r="F78" s="37">
        <f t="shared" si="1"/>
        <v>0</v>
      </c>
      <c r="G78" s="335"/>
      <c r="H78" s="222"/>
      <c r="I78" s="222"/>
    </row>
    <row r="79" spans="1:9">
      <c r="A79" s="187">
        <v>70</v>
      </c>
      <c r="B79" s="38"/>
      <c r="C79" s="39"/>
      <c r="D79" s="39"/>
      <c r="E79" s="39"/>
      <c r="F79" s="37">
        <f t="shared" si="1"/>
        <v>0</v>
      </c>
      <c r="G79" s="335"/>
      <c r="H79" s="222"/>
      <c r="I79" s="222"/>
    </row>
    <row r="80" spans="1:9">
      <c r="A80" s="187">
        <v>71</v>
      </c>
      <c r="B80" s="38"/>
      <c r="C80" s="39"/>
      <c r="D80" s="39"/>
      <c r="E80" s="39"/>
      <c r="F80" s="37">
        <f t="shared" ref="F80:F109" si="2">SUM(B80:E80)</f>
        <v>0</v>
      </c>
      <c r="G80" s="335"/>
      <c r="H80" s="222"/>
      <c r="I80" s="222"/>
    </row>
    <row r="81" spans="1:9">
      <c r="A81" s="187">
        <v>72</v>
      </c>
      <c r="B81" s="38"/>
      <c r="C81" s="39"/>
      <c r="D81" s="39"/>
      <c r="E81" s="39"/>
      <c r="F81" s="37">
        <f t="shared" si="2"/>
        <v>0</v>
      </c>
      <c r="G81" s="335"/>
      <c r="H81" s="222"/>
      <c r="I81" s="222"/>
    </row>
    <row r="82" spans="1:9">
      <c r="A82" s="187">
        <v>73</v>
      </c>
      <c r="B82" s="38"/>
      <c r="C82" s="39"/>
      <c r="D82" s="39"/>
      <c r="E82" s="39"/>
      <c r="F82" s="37">
        <f t="shared" si="2"/>
        <v>0</v>
      </c>
      <c r="G82" s="335"/>
      <c r="H82" s="222"/>
      <c r="I82" s="222"/>
    </row>
    <row r="83" spans="1:9">
      <c r="A83" s="187">
        <v>74</v>
      </c>
      <c r="B83" s="38"/>
      <c r="C83" s="39"/>
      <c r="D83" s="39"/>
      <c r="E83" s="39"/>
      <c r="F83" s="37">
        <f t="shared" si="2"/>
        <v>0</v>
      </c>
      <c r="G83" s="335"/>
      <c r="H83" s="222"/>
      <c r="I83" s="222"/>
    </row>
    <row r="84" spans="1:9">
      <c r="A84" s="187">
        <v>75</v>
      </c>
      <c r="B84" s="38"/>
      <c r="C84" s="39"/>
      <c r="D84" s="39"/>
      <c r="E84" s="39"/>
      <c r="F84" s="37">
        <f t="shared" si="2"/>
        <v>0</v>
      </c>
      <c r="G84" s="335"/>
      <c r="H84" s="222"/>
      <c r="I84" s="222"/>
    </row>
    <row r="85" spans="1:9">
      <c r="A85" s="187">
        <v>76</v>
      </c>
      <c r="B85" s="38"/>
      <c r="C85" s="39"/>
      <c r="D85" s="39"/>
      <c r="E85" s="39"/>
      <c r="F85" s="37">
        <f t="shared" si="2"/>
        <v>0</v>
      </c>
      <c r="G85" s="335"/>
      <c r="H85" s="222"/>
      <c r="I85" s="222"/>
    </row>
    <row r="86" spans="1:9">
      <c r="A86" s="187">
        <v>77</v>
      </c>
      <c r="B86" s="38"/>
      <c r="C86" s="39"/>
      <c r="D86" s="39"/>
      <c r="E86" s="39"/>
      <c r="F86" s="37">
        <f t="shared" si="2"/>
        <v>0</v>
      </c>
      <c r="G86" s="335"/>
      <c r="H86" s="222"/>
      <c r="I86" s="222"/>
    </row>
    <row r="87" spans="1:9">
      <c r="A87" s="187">
        <v>78</v>
      </c>
      <c r="B87" s="38"/>
      <c r="C87" s="39"/>
      <c r="D87" s="39"/>
      <c r="E87" s="39"/>
      <c r="F87" s="37">
        <f t="shared" si="2"/>
        <v>0</v>
      </c>
      <c r="G87" s="335"/>
      <c r="H87" s="222"/>
      <c r="I87" s="222"/>
    </row>
    <row r="88" spans="1:9">
      <c r="A88" s="187">
        <v>79</v>
      </c>
      <c r="B88" s="38"/>
      <c r="C88" s="39"/>
      <c r="D88" s="39"/>
      <c r="E88" s="39"/>
      <c r="F88" s="37">
        <f t="shared" si="2"/>
        <v>0</v>
      </c>
      <c r="G88" s="335"/>
      <c r="H88" s="222"/>
      <c r="I88" s="222"/>
    </row>
    <row r="89" spans="1:9">
      <c r="A89" s="187">
        <v>80</v>
      </c>
      <c r="B89" s="38"/>
      <c r="C89" s="39"/>
      <c r="D89" s="39"/>
      <c r="E89" s="39"/>
      <c r="F89" s="37">
        <f t="shared" si="2"/>
        <v>0</v>
      </c>
      <c r="G89" s="335"/>
      <c r="H89" s="222"/>
      <c r="I89" s="222"/>
    </row>
    <row r="90" spans="1:9">
      <c r="A90" s="187">
        <v>81</v>
      </c>
      <c r="B90" s="38"/>
      <c r="C90" s="39"/>
      <c r="D90" s="39"/>
      <c r="E90" s="39"/>
      <c r="F90" s="37">
        <f t="shared" si="2"/>
        <v>0</v>
      </c>
      <c r="G90" s="335"/>
      <c r="H90" s="222"/>
      <c r="I90" s="222"/>
    </row>
    <row r="91" spans="1:9">
      <c r="A91" s="187">
        <v>82</v>
      </c>
      <c r="B91" s="38"/>
      <c r="C91" s="39"/>
      <c r="D91" s="39"/>
      <c r="E91" s="39"/>
      <c r="F91" s="37">
        <f t="shared" si="2"/>
        <v>0</v>
      </c>
      <c r="G91" s="335"/>
      <c r="H91" s="222"/>
      <c r="I91" s="222"/>
    </row>
    <row r="92" spans="1:9">
      <c r="A92" s="187">
        <v>83</v>
      </c>
      <c r="B92" s="38"/>
      <c r="C92" s="39"/>
      <c r="D92" s="39"/>
      <c r="E92" s="39"/>
      <c r="F92" s="37">
        <f t="shared" si="2"/>
        <v>0</v>
      </c>
      <c r="G92" s="335"/>
      <c r="H92" s="222"/>
      <c r="I92" s="222"/>
    </row>
    <row r="93" spans="1:9">
      <c r="A93" s="187">
        <v>84</v>
      </c>
      <c r="B93" s="38"/>
      <c r="C93" s="39"/>
      <c r="D93" s="39"/>
      <c r="E93" s="39"/>
      <c r="F93" s="37">
        <f t="shared" si="2"/>
        <v>0</v>
      </c>
      <c r="G93" s="335"/>
      <c r="H93" s="222"/>
      <c r="I93" s="222"/>
    </row>
    <row r="94" spans="1:9">
      <c r="A94" s="187">
        <v>85</v>
      </c>
      <c r="B94" s="38"/>
      <c r="C94" s="39"/>
      <c r="D94" s="39"/>
      <c r="E94" s="39"/>
      <c r="F94" s="37">
        <f t="shared" si="2"/>
        <v>0</v>
      </c>
      <c r="G94" s="335"/>
      <c r="H94" s="222"/>
      <c r="I94" s="222"/>
    </row>
    <row r="95" spans="1:9">
      <c r="A95" s="187">
        <v>86</v>
      </c>
      <c r="B95" s="38"/>
      <c r="C95" s="39"/>
      <c r="D95" s="39"/>
      <c r="E95" s="39"/>
      <c r="F95" s="37">
        <f t="shared" si="2"/>
        <v>0</v>
      </c>
      <c r="G95" s="335"/>
      <c r="H95" s="222"/>
      <c r="I95" s="222"/>
    </row>
    <row r="96" spans="1:9">
      <c r="A96" s="187">
        <v>87</v>
      </c>
      <c r="B96" s="38"/>
      <c r="C96" s="39"/>
      <c r="D96" s="39"/>
      <c r="E96" s="39"/>
      <c r="F96" s="37">
        <f t="shared" si="2"/>
        <v>0</v>
      </c>
      <c r="G96" s="335"/>
      <c r="H96" s="222"/>
      <c r="I96" s="222"/>
    </row>
    <row r="97" spans="1:9">
      <c r="A97" s="187">
        <v>88</v>
      </c>
      <c r="B97" s="38"/>
      <c r="C97" s="39"/>
      <c r="D97" s="39"/>
      <c r="E97" s="39"/>
      <c r="F97" s="37">
        <f t="shared" si="2"/>
        <v>0</v>
      </c>
      <c r="G97" s="335"/>
      <c r="H97" s="222"/>
      <c r="I97" s="222"/>
    </row>
    <row r="98" spans="1:9">
      <c r="A98" s="187">
        <v>89</v>
      </c>
      <c r="B98" s="38"/>
      <c r="C98" s="39"/>
      <c r="D98" s="39"/>
      <c r="E98" s="39"/>
      <c r="F98" s="37">
        <f t="shared" si="2"/>
        <v>0</v>
      </c>
      <c r="G98" s="335"/>
      <c r="H98" s="222"/>
      <c r="I98" s="222"/>
    </row>
    <row r="99" spans="1:9">
      <c r="A99" s="187">
        <v>90</v>
      </c>
      <c r="B99" s="38"/>
      <c r="C99" s="39"/>
      <c r="D99" s="39"/>
      <c r="E99" s="39"/>
      <c r="F99" s="37">
        <f t="shared" si="2"/>
        <v>0</v>
      </c>
      <c r="G99" s="335"/>
      <c r="H99" s="222"/>
      <c r="I99" s="222"/>
    </row>
    <row r="100" spans="1:9">
      <c r="A100" s="187">
        <v>91</v>
      </c>
      <c r="B100" s="38"/>
      <c r="C100" s="39"/>
      <c r="D100" s="39"/>
      <c r="E100" s="39"/>
      <c r="F100" s="37">
        <f t="shared" si="2"/>
        <v>0</v>
      </c>
      <c r="G100" s="335"/>
      <c r="H100" s="222"/>
      <c r="I100" s="222"/>
    </row>
    <row r="101" spans="1:9">
      <c r="A101" s="187">
        <v>92</v>
      </c>
      <c r="B101" s="38"/>
      <c r="C101" s="39"/>
      <c r="D101" s="39"/>
      <c r="E101" s="39"/>
      <c r="F101" s="37">
        <f t="shared" si="2"/>
        <v>0</v>
      </c>
      <c r="G101" s="335"/>
      <c r="H101" s="222"/>
      <c r="I101" s="222"/>
    </row>
    <row r="102" spans="1:9">
      <c r="A102" s="187">
        <v>93</v>
      </c>
      <c r="B102" s="38"/>
      <c r="C102" s="39"/>
      <c r="D102" s="39"/>
      <c r="E102" s="39"/>
      <c r="F102" s="37">
        <f t="shared" si="2"/>
        <v>0</v>
      </c>
      <c r="G102" s="335"/>
      <c r="H102" s="222"/>
      <c r="I102" s="222"/>
    </row>
    <row r="103" spans="1:9">
      <c r="A103" s="187">
        <v>94</v>
      </c>
      <c r="B103" s="38"/>
      <c r="C103" s="39"/>
      <c r="D103" s="39"/>
      <c r="E103" s="39"/>
      <c r="F103" s="37">
        <f t="shared" si="2"/>
        <v>0</v>
      </c>
      <c r="G103" s="335"/>
      <c r="H103" s="222"/>
      <c r="I103" s="222"/>
    </row>
    <row r="104" spans="1:9">
      <c r="A104" s="187">
        <v>95</v>
      </c>
      <c r="B104" s="38"/>
      <c r="C104" s="39"/>
      <c r="D104" s="39"/>
      <c r="E104" s="39"/>
      <c r="F104" s="37">
        <f t="shared" si="2"/>
        <v>0</v>
      </c>
      <c r="G104" s="335"/>
      <c r="H104" s="222"/>
      <c r="I104" s="222"/>
    </row>
    <row r="105" spans="1:9">
      <c r="A105" s="187">
        <v>96</v>
      </c>
      <c r="B105" s="38"/>
      <c r="C105" s="39"/>
      <c r="D105" s="39"/>
      <c r="E105" s="39"/>
      <c r="F105" s="37">
        <f t="shared" si="2"/>
        <v>0</v>
      </c>
      <c r="G105" s="335"/>
      <c r="H105" s="222"/>
      <c r="I105" s="222"/>
    </row>
    <row r="106" spans="1:9">
      <c r="A106" s="187">
        <v>97</v>
      </c>
      <c r="B106" s="38"/>
      <c r="C106" s="39"/>
      <c r="D106" s="39"/>
      <c r="E106" s="39"/>
      <c r="F106" s="37">
        <f t="shared" si="2"/>
        <v>0</v>
      </c>
      <c r="G106" s="335"/>
      <c r="H106" s="222"/>
      <c r="I106" s="222"/>
    </row>
    <row r="107" spans="1:9">
      <c r="A107" s="187">
        <v>98</v>
      </c>
      <c r="B107" s="38"/>
      <c r="C107" s="39"/>
      <c r="D107" s="39"/>
      <c r="E107" s="39"/>
      <c r="F107" s="37">
        <f t="shared" si="2"/>
        <v>0</v>
      </c>
      <c r="G107" s="335"/>
      <c r="H107" s="222"/>
      <c r="I107" s="222"/>
    </row>
    <row r="108" spans="1:9">
      <c r="A108" s="187">
        <v>99</v>
      </c>
      <c r="B108" s="38"/>
      <c r="C108" s="39"/>
      <c r="D108" s="39"/>
      <c r="E108" s="39"/>
      <c r="F108" s="37">
        <f t="shared" si="2"/>
        <v>0</v>
      </c>
      <c r="G108" s="335"/>
      <c r="H108" s="222"/>
      <c r="I108" s="222"/>
    </row>
    <row r="109" spans="1:9">
      <c r="A109" s="187">
        <v>100</v>
      </c>
      <c r="B109" s="226"/>
      <c r="C109" s="39"/>
      <c r="D109" s="39"/>
      <c r="E109" s="39"/>
      <c r="F109" s="37">
        <f t="shared" si="2"/>
        <v>0</v>
      </c>
      <c r="G109" s="335"/>
      <c r="H109" s="222"/>
      <c r="I109" s="222"/>
    </row>
    <row r="110" spans="1:9" ht="13">
      <c r="A110" s="30" t="s">
        <v>70</v>
      </c>
      <c r="B110" s="220">
        <f>SUM(B10:B109)</f>
        <v>0</v>
      </c>
      <c r="C110" s="220">
        <f>SUM(C10:C109)</f>
        <v>0</v>
      </c>
      <c r="D110" s="220">
        <f>SUM(D10:D109)</f>
        <v>0</v>
      </c>
      <c r="E110" s="220">
        <f>SUM(E10:E109)</f>
        <v>0</v>
      </c>
      <c r="F110" s="220">
        <f>SUM(F10:F109)</f>
        <v>0</v>
      </c>
      <c r="G110" s="336"/>
      <c r="H110" s="222"/>
      <c r="I110" s="222"/>
    </row>
    <row r="111" spans="1:9">
      <c r="A111" s="3"/>
      <c r="B111" s="31"/>
      <c r="C111" s="32"/>
      <c r="D111" s="32"/>
      <c r="E111" s="32"/>
      <c r="F111" s="32"/>
      <c r="G111" s="32"/>
      <c r="H111" s="222"/>
      <c r="I111" s="222"/>
    </row>
    <row r="112" spans="1:9">
      <c r="A112" s="4"/>
      <c r="B112" s="3"/>
      <c r="C112" s="4"/>
      <c r="D112" s="4"/>
      <c r="E112" s="4"/>
      <c r="F112" s="4"/>
      <c r="G112" s="4"/>
      <c r="H112" s="222"/>
      <c r="I112" s="222"/>
    </row>
    <row r="113" spans="1:9" ht="13">
      <c r="A113" s="33"/>
      <c r="B113" s="3"/>
      <c r="C113" s="4"/>
      <c r="D113" s="4"/>
      <c r="E113" s="4"/>
      <c r="F113" s="4"/>
      <c r="G113" s="4"/>
      <c r="H113" s="222"/>
      <c r="I113" s="222"/>
    </row>
    <row r="114" spans="1:9">
      <c r="A114" s="4"/>
      <c r="B114" s="4"/>
      <c r="C114" s="4"/>
      <c r="D114" s="4"/>
      <c r="E114" s="4"/>
      <c r="F114" s="4"/>
      <c r="G114" s="4"/>
      <c r="H114" s="222"/>
      <c r="I114" s="222"/>
    </row>
  </sheetData>
  <mergeCells count="5">
    <mergeCell ref="F6:H6"/>
    <mergeCell ref="F3:H3"/>
    <mergeCell ref="B3:C3"/>
    <mergeCell ref="B4:C4"/>
    <mergeCell ref="B5:C5"/>
  </mergeCells>
  <phoneticPr fontId="37" type="noConversion"/>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tabColor rgb="FF0070C0"/>
  </sheetPr>
  <dimension ref="A1:I116"/>
  <sheetViews>
    <sheetView tabSelected="1" zoomScaleNormal="100" workbookViewId="0">
      <pane ySplit="9" topLeftCell="A70" activePane="bottomLeft" state="frozen"/>
      <selection pane="bottomLeft" activeCell="G73" sqref="G73"/>
    </sheetView>
  </sheetViews>
  <sheetFormatPr defaultColWidth="11.54296875" defaultRowHeight="12.5"/>
  <cols>
    <col min="1" max="1" width="15.7265625" style="1" customWidth="1"/>
    <col min="2" max="2" width="11.81640625" style="1" customWidth="1"/>
    <col min="3" max="9" width="11.81640625" customWidth="1"/>
  </cols>
  <sheetData>
    <row r="1" spans="1:9" s="7" customFormat="1" ht="19.5" customHeight="1">
      <c r="A1" s="34" t="s">
        <v>145</v>
      </c>
      <c r="B1" s="6"/>
      <c r="C1" s="4"/>
      <c r="D1" s="6"/>
      <c r="E1" s="6"/>
      <c r="F1" s="6"/>
      <c r="G1" s="6"/>
      <c r="H1" s="221"/>
      <c r="I1" s="221"/>
    </row>
    <row r="2" spans="1:9" s="7" customFormat="1" ht="19.5" customHeight="1" thickBot="1">
      <c r="A2" s="350" t="s">
        <v>146</v>
      </c>
      <c r="B2" s="6"/>
      <c r="C2" s="11"/>
      <c r="D2" s="6"/>
      <c r="E2" s="6"/>
      <c r="F2" s="6"/>
      <c r="G2" s="6"/>
      <c r="H2" s="221"/>
      <c r="I2" s="221"/>
    </row>
    <row r="3" spans="1:9" s="7" customFormat="1" ht="18" customHeight="1" thickBot="1">
      <c r="A3" s="346" t="s">
        <v>135</v>
      </c>
      <c r="B3" s="389" t="str">
        <f>'START HERE'!F6</f>
        <v>Korea</v>
      </c>
      <c r="C3" s="390"/>
      <c r="D3" s="6"/>
      <c r="E3" s="31" t="s">
        <v>45</v>
      </c>
      <c r="F3" s="386" t="s">
        <v>100</v>
      </c>
      <c r="G3" s="387"/>
      <c r="H3" s="388"/>
      <c r="I3" s="229"/>
    </row>
    <row r="4" spans="1:9" s="7" customFormat="1" ht="18" customHeight="1">
      <c r="A4" s="12" t="s">
        <v>22</v>
      </c>
      <c r="B4" s="389" t="str">
        <f>'START HERE'!F5</f>
        <v>Jack mackerel</v>
      </c>
      <c r="C4" s="390"/>
      <c r="D4" s="26"/>
      <c r="E4" s="13"/>
      <c r="F4" s="392"/>
      <c r="G4" s="393"/>
      <c r="H4" s="394"/>
      <c r="I4" s="229"/>
    </row>
    <row r="5" spans="1:9" s="7" customFormat="1" ht="18" customHeight="1">
      <c r="A5" s="12" t="s">
        <v>15</v>
      </c>
      <c r="B5" s="395">
        <f>'START HERE'!$K$3</f>
        <v>2018</v>
      </c>
      <c r="C5" s="396"/>
      <c r="D5" s="6"/>
      <c r="E5" s="35" t="s">
        <v>46</v>
      </c>
      <c r="F5" s="397" t="s">
        <v>158</v>
      </c>
      <c r="G5" s="398"/>
      <c r="H5" s="399"/>
      <c r="I5" s="229"/>
    </row>
    <row r="6" spans="1:9" s="7" customFormat="1" ht="18" customHeight="1" thickBot="1">
      <c r="A6" s="12"/>
      <c r="B6" s="81"/>
      <c r="C6" s="82"/>
      <c r="D6" s="6"/>
      <c r="E6" s="35" t="s">
        <v>16</v>
      </c>
      <c r="F6" s="384">
        <f>'START HERE'!$F8</f>
        <v>42252</v>
      </c>
      <c r="G6" s="385"/>
      <c r="H6" s="391"/>
      <c r="I6" s="229"/>
    </row>
    <row r="7" spans="1:9" s="7" customFormat="1" ht="9.75" customHeight="1">
      <c r="A7" s="6"/>
      <c r="B7" s="6"/>
      <c r="C7" s="6"/>
      <c r="D7" s="6"/>
      <c r="E7" s="6"/>
      <c r="F7" s="6"/>
      <c r="G7" s="6"/>
      <c r="H7" s="221"/>
      <c r="I7" s="221"/>
    </row>
    <row r="8" spans="1:9" ht="18" customHeight="1">
      <c r="A8" s="27" t="s">
        <v>92</v>
      </c>
      <c r="B8" s="27" t="s">
        <v>60</v>
      </c>
      <c r="C8" s="27" t="s">
        <v>37</v>
      </c>
      <c r="D8" s="27" t="s">
        <v>38</v>
      </c>
      <c r="E8" s="27" t="s">
        <v>39</v>
      </c>
      <c r="F8" s="27" t="s">
        <v>48</v>
      </c>
      <c r="G8" s="333"/>
      <c r="H8" s="222"/>
      <c r="I8" s="222"/>
    </row>
    <row r="9" spans="1:9" ht="18">
      <c r="A9" s="28" t="s">
        <v>49</v>
      </c>
      <c r="B9" s="228">
        <f>'START HERE'!$K$3</f>
        <v>2018</v>
      </c>
      <c r="C9" s="228">
        <f>'START HERE'!$K$3</f>
        <v>2018</v>
      </c>
      <c r="D9" s="228">
        <f>'START HERE'!$K$3</f>
        <v>2018</v>
      </c>
      <c r="E9" s="228">
        <f>'START HERE'!$K$3</f>
        <v>2018</v>
      </c>
      <c r="F9" s="227">
        <f>'START HERE'!$K$3</f>
        <v>2018</v>
      </c>
      <c r="G9" s="334"/>
      <c r="H9" s="222"/>
      <c r="I9" s="222"/>
    </row>
    <row r="10" spans="1:9">
      <c r="A10" s="187">
        <v>1</v>
      </c>
      <c r="B10" s="38"/>
      <c r="C10" s="39"/>
      <c r="D10" s="39"/>
      <c r="E10" s="39"/>
      <c r="F10" s="37">
        <f>SUM(B10:E10)</f>
        <v>0</v>
      </c>
      <c r="G10" s="335"/>
      <c r="H10" s="222"/>
      <c r="I10" s="222"/>
    </row>
    <row r="11" spans="1:9">
      <c r="A11" s="187">
        <v>2</v>
      </c>
      <c r="B11" s="38"/>
      <c r="C11" s="39"/>
      <c r="D11" s="39"/>
      <c r="E11" s="39"/>
      <c r="F11" s="37">
        <f t="shared" ref="F11:F74" si="0">SUM(B11:E11)</f>
        <v>0</v>
      </c>
      <c r="G11" s="335"/>
      <c r="H11" s="222"/>
      <c r="I11" s="222"/>
    </row>
    <row r="12" spans="1:9">
      <c r="A12" s="187">
        <v>3</v>
      </c>
      <c r="B12" s="38"/>
      <c r="C12" s="39"/>
      <c r="D12" s="39"/>
      <c r="E12" s="39"/>
      <c r="F12" s="37">
        <f t="shared" si="0"/>
        <v>0</v>
      </c>
      <c r="G12" s="335"/>
      <c r="H12" s="222"/>
      <c r="I12" s="222"/>
    </row>
    <row r="13" spans="1:9">
      <c r="A13" s="187">
        <v>4</v>
      </c>
      <c r="B13" s="38"/>
      <c r="C13" s="39"/>
      <c r="D13" s="39"/>
      <c r="E13" s="39"/>
      <c r="F13" s="37">
        <f t="shared" si="0"/>
        <v>0</v>
      </c>
      <c r="G13" s="335"/>
      <c r="H13" s="222"/>
      <c r="I13" s="222"/>
    </row>
    <row r="14" spans="1:9">
      <c r="A14" s="187">
        <v>5</v>
      </c>
      <c r="B14" s="38"/>
      <c r="C14" s="39"/>
      <c r="D14" s="39"/>
      <c r="E14" s="39"/>
      <c r="F14" s="37">
        <f t="shared" si="0"/>
        <v>0</v>
      </c>
      <c r="G14" s="335"/>
      <c r="H14" s="222"/>
      <c r="I14" s="222"/>
    </row>
    <row r="15" spans="1:9">
      <c r="A15" s="187">
        <v>6</v>
      </c>
      <c r="B15" s="38"/>
      <c r="C15" s="39"/>
      <c r="D15" s="39"/>
      <c r="E15" s="39"/>
      <c r="F15" s="37">
        <f t="shared" si="0"/>
        <v>0</v>
      </c>
      <c r="G15" s="335"/>
      <c r="H15" s="222"/>
      <c r="I15" s="222"/>
    </row>
    <row r="16" spans="1:9">
      <c r="A16" s="187">
        <v>7</v>
      </c>
      <c r="B16" s="38"/>
      <c r="C16" s="39"/>
      <c r="D16" s="39"/>
      <c r="E16" s="39"/>
      <c r="F16" s="37">
        <f t="shared" si="0"/>
        <v>0</v>
      </c>
      <c r="G16" s="335"/>
      <c r="H16" s="222"/>
      <c r="I16" s="222"/>
    </row>
    <row r="17" spans="1:9">
      <c r="A17" s="187">
        <v>8</v>
      </c>
      <c r="B17" s="38"/>
      <c r="C17" s="39"/>
      <c r="D17" s="39"/>
      <c r="E17" s="39"/>
      <c r="F17" s="37">
        <f t="shared" si="0"/>
        <v>0</v>
      </c>
      <c r="G17" s="335"/>
      <c r="H17" s="222"/>
      <c r="I17" s="222"/>
    </row>
    <row r="18" spans="1:9">
      <c r="A18" s="187">
        <v>9</v>
      </c>
      <c r="B18" s="38"/>
      <c r="C18" s="39"/>
      <c r="D18" s="39"/>
      <c r="E18" s="39"/>
      <c r="F18" s="37">
        <f t="shared" si="0"/>
        <v>0</v>
      </c>
      <c r="G18" s="335"/>
      <c r="H18" s="222"/>
      <c r="I18" s="222"/>
    </row>
    <row r="19" spans="1:9">
      <c r="A19" s="187">
        <v>10</v>
      </c>
      <c r="B19" s="38"/>
      <c r="C19" s="39"/>
      <c r="D19" s="39"/>
      <c r="E19" s="39"/>
      <c r="F19" s="37">
        <f t="shared" si="0"/>
        <v>0</v>
      </c>
      <c r="G19" s="335"/>
      <c r="H19" s="222"/>
      <c r="I19" s="222"/>
    </row>
    <row r="20" spans="1:9">
      <c r="A20" s="187">
        <v>11</v>
      </c>
      <c r="B20" s="38"/>
      <c r="C20" s="39"/>
      <c r="D20" s="39"/>
      <c r="E20" s="39"/>
      <c r="F20" s="37">
        <f t="shared" si="0"/>
        <v>0</v>
      </c>
      <c r="G20" s="335"/>
      <c r="H20" s="222"/>
      <c r="I20" s="222"/>
    </row>
    <row r="21" spans="1:9">
      <c r="A21" s="187">
        <v>12</v>
      </c>
      <c r="B21" s="38"/>
      <c r="C21" s="39"/>
      <c r="D21" s="39"/>
      <c r="E21" s="39"/>
      <c r="F21" s="37">
        <f t="shared" si="0"/>
        <v>0</v>
      </c>
      <c r="G21" s="335"/>
      <c r="H21" s="222"/>
      <c r="I21" s="222"/>
    </row>
    <row r="22" spans="1:9">
      <c r="A22" s="187">
        <v>13</v>
      </c>
      <c r="B22" s="38"/>
      <c r="C22" s="39"/>
      <c r="D22" s="39"/>
      <c r="E22" s="39"/>
      <c r="F22" s="37">
        <f t="shared" si="0"/>
        <v>0</v>
      </c>
      <c r="G22" s="335"/>
      <c r="H22" s="222"/>
      <c r="I22" s="222"/>
    </row>
    <row r="23" spans="1:9">
      <c r="A23" s="187">
        <v>14</v>
      </c>
      <c r="B23" s="38"/>
      <c r="C23" s="39"/>
      <c r="D23" s="39"/>
      <c r="E23" s="39"/>
      <c r="F23" s="37">
        <f t="shared" si="0"/>
        <v>0</v>
      </c>
      <c r="G23" s="335"/>
      <c r="H23" s="222"/>
      <c r="I23" s="222"/>
    </row>
    <row r="24" spans="1:9">
      <c r="A24" s="187">
        <v>15</v>
      </c>
      <c r="B24" s="38"/>
      <c r="C24" s="39"/>
      <c r="D24" s="39"/>
      <c r="E24" s="39"/>
      <c r="F24" s="37">
        <f t="shared" si="0"/>
        <v>0</v>
      </c>
      <c r="G24" s="335"/>
      <c r="H24" s="222"/>
      <c r="I24" s="222"/>
    </row>
    <row r="25" spans="1:9">
      <c r="A25" s="187">
        <v>16</v>
      </c>
      <c r="B25" s="38"/>
      <c r="C25" s="39">
        <v>0</v>
      </c>
      <c r="D25" s="39">
        <v>0</v>
      </c>
      <c r="E25" s="39">
        <v>5</v>
      </c>
      <c r="F25" s="37">
        <f t="shared" si="0"/>
        <v>5</v>
      </c>
      <c r="G25" s="335"/>
      <c r="H25" s="222"/>
      <c r="I25" s="222"/>
    </row>
    <row r="26" spans="1:9">
      <c r="A26" s="187">
        <v>17</v>
      </c>
      <c r="B26" s="38"/>
      <c r="C26" s="39">
        <v>0</v>
      </c>
      <c r="D26" s="39">
        <v>0</v>
      </c>
      <c r="E26" s="39">
        <v>96</v>
      </c>
      <c r="F26" s="37">
        <f t="shared" si="0"/>
        <v>96</v>
      </c>
      <c r="G26" s="335"/>
      <c r="H26" s="222"/>
      <c r="I26" s="222"/>
    </row>
    <row r="27" spans="1:9">
      <c r="A27" s="187">
        <v>18</v>
      </c>
      <c r="B27" s="38"/>
      <c r="C27" s="39">
        <v>0</v>
      </c>
      <c r="D27" s="39">
        <v>8</v>
      </c>
      <c r="E27" s="39">
        <v>165</v>
      </c>
      <c r="F27" s="37">
        <f t="shared" si="0"/>
        <v>173</v>
      </c>
      <c r="G27" s="335"/>
      <c r="H27" s="222"/>
      <c r="I27" s="222"/>
    </row>
    <row r="28" spans="1:9">
      <c r="A28" s="187">
        <v>19</v>
      </c>
      <c r="B28" s="38"/>
      <c r="C28" s="39">
        <v>0</v>
      </c>
      <c r="D28" s="39">
        <v>28</v>
      </c>
      <c r="E28" s="39">
        <v>85</v>
      </c>
      <c r="F28" s="37">
        <f t="shared" si="0"/>
        <v>113</v>
      </c>
      <c r="G28" s="335"/>
      <c r="H28" s="222"/>
      <c r="I28" s="222"/>
    </row>
    <row r="29" spans="1:9">
      <c r="A29" s="187">
        <v>20</v>
      </c>
      <c r="B29" s="38"/>
      <c r="C29" s="39">
        <v>0</v>
      </c>
      <c r="D29" s="39">
        <v>37</v>
      </c>
      <c r="E29" s="39">
        <v>56</v>
      </c>
      <c r="F29" s="37">
        <f t="shared" si="0"/>
        <v>93</v>
      </c>
      <c r="G29" s="335"/>
      <c r="H29" s="222"/>
      <c r="I29" s="222"/>
    </row>
    <row r="30" spans="1:9">
      <c r="A30" s="187">
        <v>21</v>
      </c>
      <c r="B30" s="38"/>
      <c r="C30" s="39">
        <v>0</v>
      </c>
      <c r="D30" s="39">
        <v>33</v>
      </c>
      <c r="E30" s="39">
        <v>34</v>
      </c>
      <c r="F30" s="37">
        <f t="shared" si="0"/>
        <v>67</v>
      </c>
      <c r="G30" s="335"/>
      <c r="H30" s="222"/>
      <c r="I30" s="222"/>
    </row>
    <row r="31" spans="1:9">
      <c r="A31" s="187">
        <v>22</v>
      </c>
      <c r="B31" s="38"/>
      <c r="C31" s="39">
        <v>0</v>
      </c>
      <c r="D31" s="39">
        <v>17</v>
      </c>
      <c r="E31" s="39">
        <v>27</v>
      </c>
      <c r="F31" s="37">
        <f t="shared" si="0"/>
        <v>44</v>
      </c>
      <c r="G31" s="335"/>
      <c r="H31" s="222"/>
      <c r="I31" s="222"/>
    </row>
    <row r="32" spans="1:9">
      <c r="A32" s="187">
        <v>23</v>
      </c>
      <c r="B32" s="38"/>
      <c r="C32" s="39">
        <v>0</v>
      </c>
      <c r="D32" s="39">
        <v>13</v>
      </c>
      <c r="E32" s="39">
        <v>36</v>
      </c>
      <c r="F32" s="37">
        <f t="shared" si="0"/>
        <v>49</v>
      </c>
      <c r="G32" s="335"/>
      <c r="H32" s="222"/>
      <c r="I32" s="222"/>
    </row>
    <row r="33" spans="1:9">
      <c r="A33" s="187">
        <v>24</v>
      </c>
      <c r="B33" s="38"/>
      <c r="C33" s="39">
        <v>0</v>
      </c>
      <c r="D33" s="39">
        <v>1</v>
      </c>
      <c r="E33" s="39">
        <v>28</v>
      </c>
      <c r="F33" s="37">
        <f t="shared" si="0"/>
        <v>29</v>
      </c>
      <c r="G33" s="335"/>
      <c r="H33" s="222"/>
      <c r="I33" s="222"/>
    </row>
    <row r="34" spans="1:9">
      <c r="A34" s="187">
        <v>25</v>
      </c>
      <c r="B34" s="38"/>
      <c r="C34" s="39">
        <v>0</v>
      </c>
      <c r="D34" s="39">
        <v>8</v>
      </c>
      <c r="E34" s="39">
        <v>78</v>
      </c>
      <c r="F34" s="37">
        <f t="shared" si="0"/>
        <v>86</v>
      </c>
      <c r="G34" s="335"/>
      <c r="H34" s="222"/>
      <c r="I34" s="222"/>
    </row>
    <row r="35" spans="1:9">
      <c r="A35" s="187">
        <v>26</v>
      </c>
      <c r="B35" s="38"/>
      <c r="C35" s="39">
        <v>0</v>
      </c>
      <c r="D35" s="39">
        <v>15</v>
      </c>
      <c r="E35" s="39">
        <v>314</v>
      </c>
      <c r="F35" s="37">
        <f t="shared" si="0"/>
        <v>329</v>
      </c>
      <c r="G35" s="335"/>
      <c r="H35" s="222"/>
      <c r="I35" s="222"/>
    </row>
    <row r="36" spans="1:9">
      <c r="A36" s="187">
        <v>27</v>
      </c>
      <c r="B36" s="38"/>
      <c r="C36" s="39">
        <v>0</v>
      </c>
      <c r="D36" s="39">
        <v>85</v>
      </c>
      <c r="E36" s="39">
        <v>287</v>
      </c>
      <c r="F36" s="37">
        <f t="shared" si="0"/>
        <v>372</v>
      </c>
      <c r="G36" s="335"/>
      <c r="H36" s="222"/>
      <c r="I36" s="222"/>
    </row>
    <row r="37" spans="1:9">
      <c r="A37" s="187">
        <v>28</v>
      </c>
      <c r="B37" s="38"/>
      <c r="C37" s="39">
        <v>0</v>
      </c>
      <c r="D37" s="39">
        <v>75</v>
      </c>
      <c r="E37" s="39">
        <v>133</v>
      </c>
      <c r="F37" s="37">
        <f t="shared" si="0"/>
        <v>208</v>
      </c>
      <c r="G37" s="335"/>
      <c r="H37" s="222"/>
      <c r="I37" s="222"/>
    </row>
    <row r="38" spans="1:9">
      <c r="A38" s="187">
        <v>29</v>
      </c>
      <c r="B38" s="38"/>
      <c r="C38" s="39">
        <v>0</v>
      </c>
      <c r="D38" s="39">
        <v>41</v>
      </c>
      <c r="E38" s="39">
        <v>90</v>
      </c>
      <c r="F38" s="37">
        <f t="shared" si="0"/>
        <v>131</v>
      </c>
      <c r="G38" s="335"/>
      <c r="H38" s="222"/>
      <c r="I38" s="222"/>
    </row>
    <row r="39" spans="1:9">
      <c r="A39" s="187">
        <v>30</v>
      </c>
      <c r="B39" s="38"/>
      <c r="C39" s="39">
        <v>0</v>
      </c>
      <c r="D39" s="39">
        <v>15</v>
      </c>
      <c r="E39" s="39">
        <v>58</v>
      </c>
      <c r="F39" s="37">
        <f t="shared" si="0"/>
        <v>73</v>
      </c>
      <c r="G39" s="335"/>
      <c r="H39" s="222"/>
      <c r="I39" s="222"/>
    </row>
    <row r="40" spans="1:9">
      <c r="A40" s="187">
        <v>31</v>
      </c>
      <c r="B40" s="38"/>
      <c r="C40" s="39">
        <v>0</v>
      </c>
      <c r="D40" s="39">
        <v>14</v>
      </c>
      <c r="E40" s="39">
        <v>38</v>
      </c>
      <c r="F40" s="37">
        <f t="shared" si="0"/>
        <v>52</v>
      </c>
      <c r="G40" s="335"/>
      <c r="H40" s="222"/>
      <c r="I40" s="222"/>
    </row>
    <row r="41" spans="1:9">
      <c r="A41" s="187">
        <v>32</v>
      </c>
      <c r="B41" s="38"/>
      <c r="C41" s="39">
        <v>0</v>
      </c>
      <c r="D41" s="39">
        <v>11</v>
      </c>
      <c r="E41" s="39">
        <v>39</v>
      </c>
      <c r="F41" s="37">
        <f t="shared" si="0"/>
        <v>50</v>
      </c>
      <c r="G41" s="335"/>
      <c r="H41" s="222"/>
      <c r="I41" s="222"/>
    </row>
    <row r="42" spans="1:9">
      <c r="A42" s="187">
        <v>33</v>
      </c>
      <c r="B42" s="38"/>
      <c r="C42" s="39">
        <v>0</v>
      </c>
      <c r="D42" s="39">
        <v>12</v>
      </c>
      <c r="E42" s="39">
        <v>57</v>
      </c>
      <c r="F42" s="37">
        <f t="shared" si="0"/>
        <v>69</v>
      </c>
      <c r="G42" s="335"/>
      <c r="H42" s="222"/>
      <c r="I42" s="222"/>
    </row>
    <row r="43" spans="1:9">
      <c r="A43" s="187">
        <v>34</v>
      </c>
      <c r="B43" s="38"/>
      <c r="C43" s="39">
        <v>0</v>
      </c>
      <c r="D43" s="39">
        <v>20</v>
      </c>
      <c r="E43" s="39">
        <v>53</v>
      </c>
      <c r="F43" s="37">
        <f t="shared" si="0"/>
        <v>73</v>
      </c>
      <c r="G43" s="335"/>
      <c r="H43" s="222"/>
      <c r="I43" s="222"/>
    </row>
    <row r="44" spans="1:9">
      <c r="A44" s="187">
        <v>35</v>
      </c>
      <c r="B44" s="38"/>
      <c r="C44" s="39">
        <v>0</v>
      </c>
      <c r="D44" s="39">
        <v>25</v>
      </c>
      <c r="E44" s="39">
        <v>50</v>
      </c>
      <c r="F44" s="37">
        <f t="shared" si="0"/>
        <v>75</v>
      </c>
      <c r="G44" s="335"/>
      <c r="H44" s="222"/>
      <c r="I44" s="222"/>
    </row>
    <row r="45" spans="1:9">
      <c r="A45" s="187">
        <v>36</v>
      </c>
      <c r="B45" s="38"/>
      <c r="C45" s="39">
        <v>0</v>
      </c>
      <c r="D45" s="39">
        <v>33</v>
      </c>
      <c r="E45" s="39">
        <v>34</v>
      </c>
      <c r="F45" s="37">
        <f t="shared" si="0"/>
        <v>67</v>
      </c>
      <c r="G45" s="335"/>
      <c r="H45" s="222"/>
      <c r="I45" s="222"/>
    </row>
    <row r="46" spans="1:9">
      <c r="A46" s="187">
        <v>37</v>
      </c>
      <c r="B46" s="38"/>
      <c r="C46" s="39">
        <v>0</v>
      </c>
      <c r="D46" s="39">
        <v>43</v>
      </c>
      <c r="E46" s="39">
        <v>19</v>
      </c>
      <c r="F46" s="37">
        <f t="shared" si="0"/>
        <v>62</v>
      </c>
      <c r="G46" s="335"/>
      <c r="H46" s="222"/>
      <c r="I46" s="222"/>
    </row>
    <row r="47" spans="1:9">
      <c r="A47" s="187">
        <v>38</v>
      </c>
      <c r="B47" s="38"/>
      <c r="C47" s="39">
        <v>0</v>
      </c>
      <c r="D47" s="39">
        <v>28</v>
      </c>
      <c r="E47" s="39">
        <v>10</v>
      </c>
      <c r="F47" s="37">
        <f t="shared" si="0"/>
        <v>38</v>
      </c>
      <c r="G47" s="335"/>
      <c r="H47" s="222"/>
      <c r="I47" s="222"/>
    </row>
    <row r="48" spans="1:9">
      <c r="A48" s="187">
        <v>39</v>
      </c>
      <c r="B48" s="38"/>
      <c r="C48" s="39">
        <v>0</v>
      </c>
      <c r="D48" s="39">
        <v>24</v>
      </c>
      <c r="E48" s="39">
        <v>11</v>
      </c>
      <c r="F48" s="37">
        <f t="shared" si="0"/>
        <v>35</v>
      </c>
      <c r="G48" s="335"/>
      <c r="H48" s="222"/>
      <c r="I48" s="222"/>
    </row>
    <row r="49" spans="1:9">
      <c r="A49" s="187">
        <v>40</v>
      </c>
      <c r="B49" s="38"/>
      <c r="C49" s="39">
        <v>0</v>
      </c>
      <c r="D49" s="39">
        <v>23</v>
      </c>
      <c r="E49" s="39">
        <v>1</v>
      </c>
      <c r="F49" s="37">
        <f t="shared" si="0"/>
        <v>24</v>
      </c>
      <c r="G49" s="335"/>
      <c r="H49" s="222"/>
      <c r="I49" s="222"/>
    </row>
    <row r="50" spans="1:9">
      <c r="A50" s="187">
        <v>41</v>
      </c>
      <c r="B50" s="38"/>
      <c r="C50" s="39">
        <v>0</v>
      </c>
      <c r="D50" s="39">
        <v>19</v>
      </c>
      <c r="E50" s="39">
        <v>5</v>
      </c>
      <c r="F50" s="37">
        <f t="shared" si="0"/>
        <v>24</v>
      </c>
      <c r="G50" s="335"/>
      <c r="H50" s="222"/>
      <c r="I50" s="222"/>
    </row>
    <row r="51" spans="1:9">
      <c r="A51" s="187">
        <v>42</v>
      </c>
      <c r="B51" s="38"/>
      <c r="C51" s="39">
        <v>0</v>
      </c>
      <c r="D51" s="39">
        <v>20</v>
      </c>
      <c r="E51" s="39">
        <v>0</v>
      </c>
      <c r="F51" s="37">
        <f t="shared" si="0"/>
        <v>20</v>
      </c>
      <c r="G51" s="335"/>
      <c r="H51" s="222"/>
      <c r="I51" s="222"/>
    </row>
    <row r="52" spans="1:9">
      <c r="A52" s="187">
        <v>43</v>
      </c>
      <c r="B52" s="38"/>
      <c r="C52" s="39">
        <v>3</v>
      </c>
      <c r="D52" s="39">
        <v>15</v>
      </c>
      <c r="E52" s="39">
        <v>0</v>
      </c>
      <c r="F52" s="37">
        <f t="shared" si="0"/>
        <v>18</v>
      </c>
      <c r="G52" s="335"/>
      <c r="H52" s="222"/>
      <c r="I52" s="222"/>
    </row>
    <row r="53" spans="1:9">
      <c r="A53" s="187">
        <v>44</v>
      </c>
      <c r="B53" s="38"/>
      <c r="C53" s="39">
        <v>2</v>
      </c>
      <c r="D53" s="39">
        <v>16</v>
      </c>
      <c r="E53" s="39">
        <v>0</v>
      </c>
      <c r="F53" s="37">
        <f t="shared" si="0"/>
        <v>18</v>
      </c>
      <c r="G53" s="335"/>
      <c r="H53" s="222"/>
      <c r="I53" s="222"/>
    </row>
    <row r="54" spans="1:9">
      <c r="A54" s="187">
        <v>45</v>
      </c>
      <c r="B54" s="38"/>
      <c r="C54" s="39">
        <v>4</v>
      </c>
      <c r="D54" s="39">
        <v>8</v>
      </c>
      <c r="E54" s="39">
        <v>0</v>
      </c>
      <c r="F54" s="37">
        <f t="shared" si="0"/>
        <v>12</v>
      </c>
      <c r="G54" s="335"/>
      <c r="H54" s="222"/>
      <c r="I54" s="222"/>
    </row>
    <row r="55" spans="1:9">
      <c r="A55" s="187">
        <v>46</v>
      </c>
      <c r="B55" s="38"/>
      <c r="C55" s="39">
        <v>6</v>
      </c>
      <c r="D55" s="39">
        <v>8</v>
      </c>
      <c r="E55" s="39">
        <v>1</v>
      </c>
      <c r="F55" s="37">
        <f t="shared" si="0"/>
        <v>15</v>
      </c>
      <c r="G55" s="335"/>
      <c r="H55" s="222"/>
      <c r="I55" s="222"/>
    </row>
    <row r="56" spans="1:9">
      <c r="A56" s="187">
        <v>47</v>
      </c>
      <c r="B56" s="38"/>
      <c r="C56" s="39">
        <v>4</v>
      </c>
      <c r="D56" s="39">
        <v>9</v>
      </c>
      <c r="E56" s="39">
        <v>0</v>
      </c>
      <c r="F56" s="37">
        <f t="shared" si="0"/>
        <v>13</v>
      </c>
      <c r="G56" s="335"/>
      <c r="H56" s="222"/>
      <c r="I56" s="222"/>
    </row>
    <row r="57" spans="1:9">
      <c r="A57" s="187">
        <v>48</v>
      </c>
      <c r="B57" s="38"/>
      <c r="C57" s="39">
        <v>4</v>
      </c>
      <c r="D57" s="39">
        <v>5</v>
      </c>
      <c r="E57" s="39">
        <v>0</v>
      </c>
      <c r="F57" s="37">
        <f t="shared" si="0"/>
        <v>9</v>
      </c>
      <c r="G57" s="335"/>
      <c r="H57" s="222"/>
      <c r="I57" s="222"/>
    </row>
    <row r="58" spans="1:9">
      <c r="A58" s="187">
        <v>49</v>
      </c>
      <c r="B58" s="38"/>
      <c r="C58" s="39">
        <v>0</v>
      </c>
      <c r="D58" s="39">
        <v>4</v>
      </c>
      <c r="E58" s="39">
        <v>0</v>
      </c>
      <c r="F58" s="37">
        <f t="shared" si="0"/>
        <v>4</v>
      </c>
      <c r="G58" s="335"/>
      <c r="H58" s="222"/>
      <c r="I58" s="222"/>
    </row>
    <row r="59" spans="1:9">
      <c r="A59" s="187">
        <v>50</v>
      </c>
      <c r="B59" s="38"/>
      <c r="C59" s="39">
        <v>3</v>
      </c>
      <c r="D59" s="39">
        <v>2</v>
      </c>
      <c r="E59" s="39">
        <v>0</v>
      </c>
      <c r="F59" s="37">
        <f t="shared" si="0"/>
        <v>5</v>
      </c>
      <c r="G59" s="335"/>
      <c r="H59" s="222"/>
      <c r="I59" s="222"/>
    </row>
    <row r="60" spans="1:9">
      <c r="A60" s="187">
        <v>51</v>
      </c>
      <c r="B60" s="38"/>
      <c r="C60" s="39">
        <v>0</v>
      </c>
      <c r="D60" s="39">
        <v>3</v>
      </c>
      <c r="E60" s="39">
        <v>0</v>
      </c>
      <c r="F60" s="37">
        <f t="shared" si="0"/>
        <v>3</v>
      </c>
      <c r="G60" s="335"/>
      <c r="H60" s="222"/>
      <c r="I60" s="222"/>
    </row>
    <row r="61" spans="1:9">
      <c r="A61" s="187">
        <v>52</v>
      </c>
      <c r="B61" s="38"/>
      <c r="C61" s="39">
        <v>1</v>
      </c>
      <c r="D61" s="39">
        <v>2</v>
      </c>
      <c r="E61" s="39">
        <v>0</v>
      </c>
      <c r="F61" s="37">
        <f t="shared" si="0"/>
        <v>3</v>
      </c>
      <c r="G61" s="335"/>
      <c r="H61" s="222"/>
      <c r="I61" s="222"/>
    </row>
    <row r="62" spans="1:9">
      <c r="A62" s="187">
        <v>53</v>
      </c>
      <c r="B62" s="38"/>
      <c r="C62" s="39">
        <v>0</v>
      </c>
      <c r="D62" s="39">
        <v>4</v>
      </c>
      <c r="E62" s="39">
        <v>0</v>
      </c>
      <c r="F62" s="37">
        <f t="shared" si="0"/>
        <v>4</v>
      </c>
      <c r="G62" s="335"/>
      <c r="H62" s="222"/>
      <c r="I62" s="222"/>
    </row>
    <row r="63" spans="1:9">
      <c r="A63" s="187">
        <v>54</v>
      </c>
      <c r="B63" s="38"/>
      <c r="C63" s="39">
        <v>2</v>
      </c>
      <c r="D63" s="39">
        <v>2</v>
      </c>
      <c r="E63" s="39">
        <v>0</v>
      </c>
      <c r="F63" s="37">
        <f t="shared" si="0"/>
        <v>4</v>
      </c>
      <c r="G63" s="335"/>
      <c r="H63" s="222"/>
      <c r="I63" s="222"/>
    </row>
    <row r="64" spans="1:9">
      <c r="A64" s="187">
        <v>55</v>
      </c>
      <c r="B64" s="38"/>
      <c r="C64" s="39">
        <v>1</v>
      </c>
      <c r="D64" s="39">
        <v>1</v>
      </c>
      <c r="E64" s="39">
        <v>0</v>
      </c>
      <c r="F64" s="37">
        <f t="shared" si="0"/>
        <v>2</v>
      </c>
      <c r="G64" s="335"/>
      <c r="H64" s="222"/>
      <c r="I64" s="222"/>
    </row>
    <row r="65" spans="1:9">
      <c r="A65" s="187">
        <v>56</v>
      </c>
      <c r="B65" s="38"/>
      <c r="C65" s="39">
        <v>0</v>
      </c>
      <c r="D65" s="39">
        <v>0</v>
      </c>
      <c r="E65" s="39">
        <v>0</v>
      </c>
      <c r="F65" s="37">
        <f t="shared" si="0"/>
        <v>0</v>
      </c>
      <c r="G65" s="335"/>
      <c r="H65" s="222"/>
      <c r="I65" s="222"/>
    </row>
    <row r="66" spans="1:9">
      <c r="A66" s="187">
        <v>57</v>
      </c>
      <c r="B66" s="38"/>
      <c r="C66" s="39">
        <v>0</v>
      </c>
      <c r="D66" s="39">
        <v>0</v>
      </c>
      <c r="E66" s="39">
        <v>0</v>
      </c>
      <c r="F66" s="37">
        <f t="shared" si="0"/>
        <v>0</v>
      </c>
      <c r="G66" s="335"/>
      <c r="H66" s="222"/>
      <c r="I66" s="222"/>
    </row>
    <row r="67" spans="1:9">
      <c r="A67" s="187">
        <v>58</v>
      </c>
      <c r="B67" s="38"/>
      <c r="C67" s="39">
        <v>0</v>
      </c>
      <c r="D67" s="39">
        <v>1</v>
      </c>
      <c r="E67" s="39">
        <v>0</v>
      </c>
      <c r="F67" s="37">
        <f t="shared" si="0"/>
        <v>1</v>
      </c>
      <c r="G67" s="335"/>
      <c r="H67" s="222"/>
      <c r="I67" s="222"/>
    </row>
    <row r="68" spans="1:9">
      <c r="A68" s="187">
        <v>59</v>
      </c>
      <c r="B68" s="38"/>
      <c r="C68" s="39">
        <v>0</v>
      </c>
      <c r="D68" s="39">
        <v>0</v>
      </c>
      <c r="E68" s="39">
        <v>0</v>
      </c>
      <c r="F68" s="37">
        <f t="shared" si="0"/>
        <v>0</v>
      </c>
      <c r="G68" s="335"/>
      <c r="H68" s="222"/>
      <c r="I68" s="222"/>
    </row>
    <row r="69" spans="1:9">
      <c r="A69" s="187">
        <v>60</v>
      </c>
      <c r="B69" s="38"/>
      <c r="C69" s="39">
        <v>0</v>
      </c>
      <c r="D69" s="39">
        <v>0</v>
      </c>
      <c r="E69" s="39">
        <v>0</v>
      </c>
      <c r="F69" s="37">
        <f t="shared" si="0"/>
        <v>0</v>
      </c>
      <c r="G69" s="335"/>
      <c r="H69" s="222"/>
      <c r="I69" s="222"/>
    </row>
    <row r="70" spans="1:9">
      <c r="A70" s="187">
        <v>61</v>
      </c>
      <c r="B70" s="38"/>
      <c r="C70" s="39"/>
      <c r="D70" s="39"/>
      <c r="E70" s="39"/>
      <c r="F70" s="37">
        <f t="shared" si="0"/>
        <v>0</v>
      </c>
      <c r="G70" s="335"/>
      <c r="H70" s="222"/>
      <c r="I70" s="222"/>
    </row>
    <row r="71" spans="1:9">
      <c r="A71" s="187">
        <v>62</v>
      </c>
      <c r="B71" s="38"/>
      <c r="C71" s="39"/>
      <c r="D71" s="39"/>
      <c r="E71" s="39"/>
      <c r="F71" s="37">
        <f t="shared" si="0"/>
        <v>0</v>
      </c>
      <c r="G71" s="335"/>
      <c r="H71" s="222"/>
      <c r="I71" s="222"/>
    </row>
    <row r="72" spans="1:9">
      <c r="A72" s="187">
        <v>63</v>
      </c>
      <c r="B72" s="38"/>
      <c r="C72" s="39"/>
      <c r="D72" s="39"/>
      <c r="E72" s="39"/>
      <c r="F72" s="37">
        <f t="shared" si="0"/>
        <v>0</v>
      </c>
      <c r="G72" s="335"/>
      <c r="H72" s="222"/>
      <c r="I72" s="222"/>
    </row>
    <row r="73" spans="1:9">
      <c r="A73" s="187">
        <v>64</v>
      </c>
      <c r="B73" s="38"/>
      <c r="C73" s="39"/>
      <c r="D73" s="39"/>
      <c r="E73" s="39"/>
      <c r="F73" s="37">
        <f t="shared" si="0"/>
        <v>0</v>
      </c>
      <c r="G73" s="335"/>
      <c r="H73" s="222"/>
      <c r="I73" s="222"/>
    </row>
    <row r="74" spans="1:9">
      <c r="A74" s="187">
        <v>65</v>
      </c>
      <c r="B74" s="38"/>
      <c r="C74" s="39"/>
      <c r="D74" s="39"/>
      <c r="E74" s="39"/>
      <c r="F74" s="37">
        <f t="shared" si="0"/>
        <v>0</v>
      </c>
      <c r="G74" s="335"/>
      <c r="H74" s="222"/>
      <c r="I74" s="222"/>
    </row>
    <row r="75" spans="1:9">
      <c r="A75" s="187">
        <v>66</v>
      </c>
      <c r="B75" s="38"/>
      <c r="C75" s="39"/>
      <c r="D75" s="39"/>
      <c r="E75" s="39"/>
      <c r="F75" s="37">
        <f t="shared" ref="F75:F109" si="1">SUM(B75:E75)</f>
        <v>0</v>
      </c>
      <c r="G75" s="335"/>
      <c r="H75" s="222"/>
      <c r="I75" s="222"/>
    </row>
    <row r="76" spans="1:9">
      <c r="A76" s="187">
        <v>67</v>
      </c>
      <c r="B76" s="38"/>
      <c r="C76" s="39"/>
      <c r="D76" s="39"/>
      <c r="E76" s="39"/>
      <c r="F76" s="37">
        <f t="shared" si="1"/>
        <v>0</v>
      </c>
      <c r="G76" s="335"/>
      <c r="H76" s="222"/>
      <c r="I76" s="222"/>
    </row>
    <row r="77" spans="1:9">
      <c r="A77" s="187">
        <v>68</v>
      </c>
      <c r="B77" s="38"/>
      <c r="C77" s="39"/>
      <c r="D77" s="39"/>
      <c r="E77" s="39"/>
      <c r="F77" s="37">
        <f t="shared" si="1"/>
        <v>0</v>
      </c>
      <c r="G77" s="335"/>
      <c r="H77" s="222"/>
      <c r="I77" s="222"/>
    </row>
    <row r="78" spans="1:9">
      <c r="A78" s="187">
        <v>69</v>
      </c>
      <c r="B78" s="38"/>
      <c r="C78" s="39"/>
      <c r="D78" s="39"/>
      <c r="E78" s="39"/>
      <c r="F78" s="37">
        <f t="shared" si="1"/>
        <v>0</v>
      </c>
      <c r="G78" s="335"/>
      <c r="H78" s="222"/>
      <c r="I78" s="222"/>
    </row>
    <row r="79" spans="1:9">
      <c r="A79" s="187">
        <v>70</v>
      </c>
      <c r="B79" s="38"/>
      <c r="C79" s="39"/>
      <c r="D79" s="39"/>
      <c r="E79" s="39"/>
      <c r="F79" s="37">
        <f t="shared" si="1"/>
        <v>0</v>
      </c>
      <c r="G79" s="335"/>
      <c r="H79" s="222"/>
      <c r="I79" s="222"/>
    </row>
    <row r="80" spans="1:9">
      <c r="A80" s="187">
        <v>71</v>
      </c>
      <c r="B80" s="38"/>
      <c r="C80" s="39"/>
      <c r="D80" s="39"/>
      <c r="E80" s="39"/>
      <c r="F80" s="37">
        <f t="shared" si="1"/>
        <v>0</v>
      </c>
      <c r="G80" s="335"/>
      <c r="H80" s="222"/>
      <c r="I80" s="222"/>
    </row>
    <row r="81" spans="1:9">
      <c r="A81" s="187">
        <v>72</v>
      </c>
      <c r="B81" s="38"/>
      <c r="C81" s="39"/>
      <c r="D81" s="39"/>
      <c r="E81" s="39"/>
      <c r="F81" s="37">
        <f t="shared" si="1"/>
        <v>0</v>
      </c>
      <c r="G81" s="335"/>
      <c r="H81" s="222"/>
      <c r="I81" s="222"/>
    </row>
    <row r="82" spans="1:9">
      <c r="A82" s="187">
        <v>73</v>
      </c>
      <c r="B82" s="38"/>
      <c r="C82" s="39"/>
      <c r="D82" s="39"/>
      <c r="E82" s="39"/>
      <c r="F82" s="37">
        <f t="shared" si="1"/>
        <v>0</v>
      </c>
      <c r="G82" s="335"/>
      <c r="H82" s="222"/>
      <c r="I82" s="222"/>
    </row>
    <row r="83" spans="1:9">
      <c r="A83" s="187">
        <v>74</v>
      </c>
      <c r="B83" s="38"/>
      <c r="C83" s="39"/>
      <c r="D83" s="39"/>
      <c r="E83" s="39"/>
      <c r="F83" s="37">
        <f t="shared" si="1"/>
        <v>0</v>
      </c>
      <c r="G83" s="335"/>
      <c r="H83" s="222"/>
      <c r="I83" s="222"/>
    </row>
    <row r="84" spans="1:9">
      <c r="A84" s="187">
        <v>75</v>
      </c>
      <c r="B84" s="38"/>
      <c r="C84" s="39"/>
      <c r="D84" s="39"/>
      <c r="E84" s="39"/>
      <c r="F84" s="37">
        <f t="shared" si="1"/>
        <v>0</v>
      </c>
      <c r="G84" s="335"/>
      <c r="H84" s="222"/>
      <c r="I84" s="222"/>
    </row>
    <row r="85" spans="1:9">
      <c r="A85" s="187">
        <v>76</v>
      </c>
      <c r="B85" s="38"/>
      <c r="C85" s="39"/>
      <c r="D85" s="39"/>
      <c r="E85" s="39"/>
      <c r="F85" s="37">
        <f t="shared" si="1"/>
        <v>0</v>
      </c>
      <c r="G85" s="335"/>
      <c r="H85" s="222"/>
      <c r="I85" s="222"/>
    </row>
    <row r="86" spans="1:9">
      <c r="A86" s="187">
        <v>77</v>
      </c>
      <c r="B86" s="38"/>
      <c r="C86" s="39"/>
      <c r="D86" s="39"/>
      <c r="E86" s="39"/>
      <c r="F86" s="37">
        <f t="shared" si="1"/>
        <v>0</v>
      </c>
      <c r="G86" s="335"/>
      <c r="H86" s="222"/>
      <c r="I86" s="222"/>
    </row>
    <row r="87" spans="1:9">
      <c r="A87" s="187">
        <v>78</v>
      </c>
      <c r="B87" s="38"/>
      <c r="C87" s="39"/>
      <c r="D87" s="39"/>
      <c r="E87" s="39"/>
      <c r="F87" s="37">
        <f t="shared" si="1"/>
        <v>0</v>
      </c>
      <c r="G87" s="335"/>
      <c r="H87" s="222"/>
      <c r="I87" s="222"/>
    </row>
    <row r="88" spans="1:9">
      <c r="A88" s="187">
        <v>79</v>
      </c>
      <c r="B88" s="38"/>
      <c r="C88" s="39"/>
      <c r="D88" s="39"/>
      <c r="E88" s="39"/>
      <c r="F88" s="37">
        <f t="shared" si="1"/>
        <v>0</v>
      </c>
      <c r="G88" s="335"/>
      <c r="H88" s="222"/>
      <c r="I88" s="222"/>
    </row>
    <row r="89" spans="1:9">
      <c r="A89" s="187">
        <v>80</v>
      </c>
      <c r="B89" s="38"/>
      <c r="C89" s="39"/>
      <c r="D89" s="39"/>
      <c r="E89" s="39"/>
      <c r="F89" s="37">
        <f t="shared" si="1"/>
        <v>0</v>
      </c>
      <c r="G89" s="335"/>
      <c r="H89" s="222"/>
      <c r="I89" s="222"/>
    </row>
    <row r="90" spans="1:9">
      <c r="A90" s="187">
        <v>81</v>
      </c>
      <c r="B90" s="38"/>
      <c r="C90" s="39"/>
      <c r="D90" s="39"/>
      <c r="E90" s="39"/>
      <c r="F90" s="37">
        <f t="shared" si="1"/>
        <v>0</v>
      </c>
      <c r="G90" s="335"/>
      <c r="H90" s="222"/>
      <c r="I90" s="222"/>
    </row>
    <row r="91" spans="1:9">
      <c r="A91" s="187">
        <v>82</v>
      </c>
      <c r="B91" s="38"/>
      <c r="C91" s="39"/>
      <c r="D91" s="39"/>
      <c r="E91" s="39"/>
      <c r="F91" s="37">
        <f t="shared" si="1"/>
        <v>0</v>
      </c>
      <c r="G91" s="335"/>
      <c r="H91" s="222"/>
      <c r="I91" s="222"/>
    </row>
    <row r="92" spans="1:9">
      <c r="A92" s="187">
        <v>83</v>
      </c>
      <c r="B92" s="38"/>
      <c r="C92" s="39"/>
      <c r="D92" s="39"/>
      <c r="E92" s="39"/>
      <c r="F92" s="37">
        <f t="shared" si="1"/>
        <v>0</v>
      </c>
      <c r="G92" s="335"/>
      <c r="H92" s="222"/>
      <c r="I92" s="222"/>
    </row>
    <row r="93" spans="1:9">
      <c r="A93" s="187">
        <v>84</v>
      </c>
      <c r="B93" s="38"/>
      <c r="C93" s="39"/>
      <c r="D93" s="39"/>
      <c r="E93" s="39"/>
      <c r="F93" s="37">
        <f t="shared" si="1"/>
        <v>0</v>
      </c>
      <c r="G93" s="335"/>
      <c r="H93" s="222"/>
      <c r="I93" s="222"/>
    </row>
    <row r="94" spans="1:9">
      <c r="A94" s="187">
        <v>85</v>
      </c>
      <c r="B94" s="38"/>
      <c r="C94" s="39"/>
      <c r="D94" s="39"/>
      <c r="E94" s="39"/>
      <c r="F94" s="37">
        <f t="shared" si="1"/>
        <v>0</v>
      </c>
      <c r="G94" s="335"/>
      <c r="H94" s="222"/>
      <c r="I94" s="222"/>
    </row>
    <row r="95" spans="1:9">
      <c r="A95" s="187">
        <v>86</v>
      </c>
      <c r="B95" s="38"/>
      <c r="C95" s="39"/>
      <c r="D95" s="39"/>
      <c r="E95" s="39"/>
      <c r="F95" s="37">
        <f t="shared" si="1"/>
        <v>0</v>
      </c>
      <c r="G95" s="335"/>
      <c r="H95" s="222"/>
      <c r="I95" s="222"/>
    </row>
    <row r="96" spans="1:9">
      <c r="A96" s="187">
        <v>87</v>
      </c>
      <c r="B96" s="38"/>
      <c r="C96" s="39"/>
      <c r="D96" s="39"/>
      <c r="E96" s="39"/>
      <c r="F96" s="37">
        <f t="shared" si="1"/>
        <v>0</v>
      </c>
      <c r="G96" s="335"/>
      <c r="H96" s="222"/>
      <c r="I96" s="222"/>
    </row>
    <row r="97" spans="1:9">
      <c r="A97" s="187">
        <v>88</v>
      </c>
      <c r="B97" s="38"/>
      <c r="C97" s="39"/>
      <c r="D97" s="39"/>
      <c r="E97" s="39"/>
      <c r="F97" s="37">
        <f t="shared" si="1"/>
        <v>0</v>
      </c>
      <c r="G97" s="335"/>
      <c r="H97" s="222"/>
      <c r="I97" s="222"/>
    </row>
    <row r="98" spans="1:9">
      <c r="A98" s="187">
        <v>89</v>
      </c>
      <c r="B98" s="38"/>
      <c r="C98" s="39"/>
      <c r="D98" s="39"/>
      <c r="E98" s="39"/>
      <c r="F98" s="37">
        <f t="shared" si="1"/>
        <v>0</v>
      </c>
      <c r="G98" s="335"/>
      <c r="H98" s="222"/>
      <c r="I98" s="222"/>
    </row>
    <row r="99" spans="1:9">
      <c r="A99" s="187">
        <v>90</v>
      </c>
      <c r="B99" s="38"/>
      <c r="C99" s="39"/>
      <c r="D99" s="39"/>
      <c r="E99" s="39"/>
      <c r="F99" s="37">
        <f t="shared" si="1"/>
        <v>0</v>
      </c>
      <c r="G99" s="335"/>
      <c r="H99" s="222"/>
      <c r="I99" s="222"/>
    </row>
    <row r="100" spans="1:9">
      <c r="A100" s="187">
        <v>91</v>
      </c>
      <c r="B100" s="38"/>
      <c r="C100" s="39"/>
      <c r="D100" s="39"/>
      <c r="E100" s="39"/>
      <c r="F100" s="37">
        <f t="shared" si="1"/>
        <v>0</v>
      </c>
      <c r="G100" s="335"/>
      <c r="H100" s="222"/>
      <c r="I100" s="222"/>
    </row>
    <row r="101" spans="1:9">
      <c r="A101" s="187">
        <v>92</v>
      </c>
      <c r="B101" s="38"/>
      <c r="C101" s="39"/>
      <c r="D101" s="39"/>
      <c r="E101" s="39"/>
      <c r="F101" s="37">
        <f t="shared" si="1"/>
        <v>0</v>
      </c>
      <c r="G101" s="335"/>
      <c r="H101" s="222"/>
      <c r="I101" s="222"/>
    </row>
    <row r="102" spans="1:9">
      <c r="A102" s="187">
        <v>93</v>
      </c>
      <c r="B102" s="38"/>
      <c r="C102" s="39"/>
      <c r="D102" s="39"/>
      <c r="E102" s="39"/>
      <c r="F102" s="37">
        <f t="shared" si="1"/>
        <v>0</v>
      </c>
      <c r="G102" s="335"/>
      <c r="H102" s="222"/>
      <c r="I102" s="222"/>
    </row>
    <row r="103" spans="1:9">
      <c r="A103" s="187">
        <v>94</v>
      </c>
      <c r="B103" s="38"/>
      <c r="C103" s="39"/>
      <c r="D103" s="39"/>
      <c r="E103" s="39"/>
      <c r="F103" s="37">
        <f t="shared" si="1"/>
        <v>0</v>
      </c>
      <c r="G103" s="335"/>
      <c r="H103" s="222"/>
      <c r="I103" s="222"/>
    </row>
    <row r="104" spans="1:9">
      <c r="A104" s="187">
        <v>95</v>
      </c>
      <c r="B104" s="38"/>
      <c r="C104" s="39"/>
      <c r="D104" s="39"/>
      <c r="E104" s="39"/>
      <c r="F104" s="37">
        <f t="shared" si="1"/>
        <v>0</v>
      </c>
      <c r="G104" s="335"/>
      <c r="H104" s="222"/>
      <c r="I104" s="222"/>
    </row>
    <row r="105" spans="1:9">
      <c r="A105" s="187">
        <v>96</v>
      </c>
      <c r="B105" s="38"/>
      <c r="C105" s="39"/>
      <c r="D105" s="39"/>
      <c r="E105" s="39"/>
      <c r="F105" s="37">
        <f t="shared" si="1"/>
        <v>0</v>
      </c>
      <c r="G105" s="335"/>
      <c r="H105" s="222"/>
      <c r="I105" s="222"/>
    </row>
    <row r="106" spans="1:9">
      <c r="A106" s="187">
        <v>97</v>
      </c>
      <c r="B106" s="38"/>
      <c r="C106" s="39"/>
      <c r="D106" s="39"/>
      <c r="E106" s="39"/>
      <c r="F106" s="37">
        <f t="shared" si="1"/>
        <v>0</v>
      </c>
      <c r="G106" s="335"/>
      <c r="H106" s="222"/>
      <c r="I106" s="222"/>
    </row>
    <row r="107" spans="1:9">
      <c r="A107" s="187">
        <v>98</v>
      </c>
      <c r="B107" s="38"/>
      <c r="C107" s="39"/>
      <c r="D107" s="39"/>
      <c r="E107" s="39"/>
      <c r="F107" s="37">
        <f t="shared" si="1"/>
        <v>0</v>
      </c>
      <c r="G107" s="335"/>
      <c r="H107" s="222"/>
      <c r="I107" s="222"/>
    </row>
    <row r="108" spans="1:9">
      <c r="A108" s="187">
        <v>99</v>
      </c>
      <c r="B108" s="38"/>
      <c r="C108" s="39"/>
      <c r="D108" s="39"/>
      <c r="E108" s="39"/>
      <c r="F108" s="37">
        <f t="shared" si="1"/>
        <v>0</v>
      </c>
      <c r="G108" s="335"/>
      <c r="H108" s="222"/>
      <c r="I108" s="222"/>
    </row>
    <row r="109" spans="1:9">
      <c r="A109" s="187">
        <v>100</v>
      </c>
      <c r="B109" s="226"/>
      <c r="C109" s="39"/>
      <c r="D109" s="39"/>
      <c r="E109" s="39"/>
      <c r="F109" s="37">
        <f t="shared" si="1"/>
        <v>0</v>
      </c>
      <c r="G109" s="335"/>
      <c r="H109" s="222"/>
      <c r="I109" s="222"/>
    </row>
    <row r="110" spans="1:9" ht="13">
      <c r="A110" s="225" t="s">
        <v>70</v>
      </c>
      <c r="B110" s="220">
        <f>SUM(B10:B109)</f>
        <v>0</v>
      </c>
      <c r="C110" s="220">
        <f>SUM(C10:C109)</f>
        <v>30</v>
      </c>
      <c r="D110" s="220">
        <f>SUM(D10:D109)</f>
        <v>728</v>
      </c>
      <c r="E110" s="220">
        <f>SUM(E10:E109)</f>
        <v>1810</v>
      </c>
      <c r="F110" s="220">
        <f>SUM(F10:F109)</f>
        <v>2568</v>
      </c>
      <c r="G110" s="336"/>
      <c r="H110" s="222"/>
      <c r="I110" s="222"/>
    </row>
    <row r="111" spans="1:9">
      <c r="A111" s="3"/>
      <c r="B111" s="31"/>
      <c r="C111" s="32"/>
      <c r="D111" s="32"/>
      <c r="E111" s="32"/>
      <c r="F111" s="32"/>
      <c r="G111" s="32"/>
      <c r="H111" s="222"/>
      <c r="I111" s="222"/>
    </row>
    <row r="112" spans="1:9">
      <c r="A112" s="4"/>
      <c r="B112" s="3"/>
      <c r="C112" s="4"/>
      <c r="D112" s="4"/>
      <c r="E112" s="4"/>
      <c r="F112" s="4"/>
      <c r="G112" s="4"/>
      <c r="H112" s="222"/>
      <c r="I112" s="222"/>
    </row>
    <row r="113" spans="1:9" ht="13">
      <c r="A113" s="33"/>
      <c r="B113" s="3"/>
      <c r="C113" s="4"/>
      <c r="D113" s="4"/>
      <c r="E113" s="4"/>
      <c r="F113" s="4"/>
      <c r="G113" s="4"/>
      <c r="H113" s="222"/>
      <c r="I113" s="222"/>
    </row>
    <row r="114" spans="1:9">
      <c r="A114" s="4"/>
      <c r="B114" s="4"/>
      <c r="C114" s="4"/>
      <c r="D114" s="4"/>
      <c r="E114" s="4"/>
      <c r="F114" s="4"/>
      <c r="G114" s="4"/>
      <c r="H114" s="222"/>
      <c r="I114" s="222"/>
    </row>
    <row r="115" spans="1:9">
      <c r="H115" s="223"/>
    </row>
    <row r="116" spans="1:9">
      <c r="H116" s="223"/>
    </row>
  </sheetData>
  <mergeCells count="7">
    <mergeCell ref="F6:H6"/>
    <mergeCell ref="B3:C3"/>
    <mergeCell ref="B4:C4"/>
    <mergeCell ref="B5:C5"/>
    <mergeCell ref="F5:H5"/>
    <mergeCell ref="F3:H3"/>
    <mergeCell ref="F4:H4"/>
  </mergeCells>
  <phoneticPr fontId="37" type="noConversion"/>
  <pageMargins left="0.78740157499999996" right="0.78740157499999996" top="0.984251969" bottom="0.984251969" header="0.4921259845" footer="0.4921259845"/>
  <pageSetup paperSize="9" orientation="portrait" r:id="rId1"/>
  <headerFooter alignWithMargins="0"/>
  <ignoredErrors>
    <ignoredError sqref="F10:F109"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H111"/>
  <sheetViews>
    <sheetView workbookViewId="0">
      <selection activeCell="A9" sqref="A9:E10"/>
    </sheetView>
  </sheetViews>
  <sheetFormatPr defaultRowHeight="12.5"/>
  <cols>
    <col min="1" max="1" width="12.453125" customWidth="1"/>
    <col min="2" max="2" width="8.81640625" bestFit="1" customWidth="1"/>
    <col min="3" max="5" width="9.453125" bestFit="1" customWidth="1"/>
    <col min="6"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60" ht="18">
      <c r="A1" s="34" t="s">
        <v>149</v>
      </c>
      <c r="B1" s="6"/>
      <c r="C1" s="4"/>
      <c r="D1" s="6"/>
      <c r="E1" s="6"/>
      <c r="F1" s="6"/>
      <c r="G1" s="6"/>
      <c r="H1" s="6"/>
      <c r="I1" s="6"/>
      <c r="J1" s="222"/>
      <c r="K1" s="222"/>
    </row>
    <row r="2" spans="1:60" ht="16" thickBot="1">
      <c r="A2" s="350" t="s">
        <v>151</v>
      </c>
      <c r="B2" s="6"/>
      <c r="C2" s="11"/>
      <c r="D2" s="6"/>
      <c r="E2" s="6"/>
      <c r="F2" s="6"/>
      <c r="G2" s="6"/>
      <c r="H2" s="6"/>
      <c r="I2" s="6"/>
      <c r="J2" s="222"/>
      <c r="K2" s="222"/>
    </row>
    <row r="3" spans="1:60" ht="16" thickBot="1">
      <c r="A3" s="346" t="s">
        <v>135</v>
      </c>
      <c r="B3" s="389" t="str">
        <f>'START HERE'!F6</f>
        <v>Korea</v>
      </c>
      <c r="C3" s="401"/>
      <c r="D3" s="390"/>
      <c r="E3" s="222"/>
      <c r="F3" s="31" t="s">
        <v>45</v>
      </c>
      <c r="G3" s="196" t="s">
        <v>96</v>
      </c>
      <c r="H3" s="199"/>
      <c r="I3" s="197"/>
      <c r="J3" s="222"/>
      <c r="K3" s="222"/>
    </row>
    <row r="4" spans="1:60" ht="15.5">
      <c r="A4" s="12" t="s">
        <v>22</v>
      </c>
      <c r="B4" s="389" t="str">
        <f>'START HERE'!F5</f>
        <v>Jack mackerel</v>
      </c>
      <c r="C4" s="401"/>
      <c r="D4" s="390"/>
      <c r="E4" s="222"/>
      <c r="F4" s="13"/>
      <c r="G4" s="345"/>
      <c r="H4" s="200"/>
      <c r="I4" s="84"/>
      <c r="J4" s="222"/>
      <c r="K4" s="222"/>
    </row>
    <row r="5" spans="1:60" ht="18">
      <c r="A5" s="12" t="s">
        <v>15</v>
      </c>
      <c r="B5" s="395">
        <f>'START HERE'!K3</f>
        <v>2018</v>
      </c>
      <c r="C5" s="402"/>
      <c r="D5" s="396"/>
      <c r="E5" s="222"/>
      <c r="F5" s="35" t="s">
        <v>46</v>
      </c>
      <c r="G5" s="85" t="s">
        <v>150</v>
      </c>
      <c r="H5" s="198"/>
      <c r="I5" s="86"/>
      <c r="J5" s="222"/>
      <c r="K5" s="222"/>
    </row>
    <row r="6" spans="1:60" ht="16" thickBot="1">
      <c r="A6" s="12"/>
      <c r="B6" s="81"/>
      <c r="C6" s="82"/>
      <c r="D6" s="6"/>
      <c r="F6" s="35" t="s">
        <v>16</v>
      </c>
      <c r="G6" s="384">
        <f>'START HERE'!$F8</f>
        <v>42252</v>
      </c>
      <c r="H6" s="385"/>
      <c r="I6" s="391"/>
      <c r="J6" s="222"/>
      <c r="K6" s="222"/>
    </row>
    <row r="7" spans="1:60">
      <c r="A7" s="6"/>
      <c r="B7" s="6"/>
      <c r="C7" s="6"/>
      <c r="D7" s="6"/>
      <c r="E7" s="6"/>
      <c r="F7" s="6"/>
      <c r="G7" s="6"/>
      <c r="H7" s="6"/>
      <c r="I7" s="6"/>
      <c r="J7" s="222"/>
      <c r="K7" s="222"/>
    </row>
    <row r="8" spans="1:60">
      <c r="A8" s="6"/>
      <c r="B8" s="6"/>
      <c r="C8" s="6"/>
      <c r="D8" s="6"/>
      <c r="E8" s="6"/>
      <c r="F8" s="6"/>
      <c r="G8" s="6"/>
      <c r="H8" s="6"/>
      <c r="I8" s="6"/>
      <c r="J8" s="222"/>
      <c r="K8" s="222"/>
    </row>
    <row r="9" spans="1:60" ht="13">
      <c r="A9" s="27" t="s">
        <v>92</v>
      </c>
      <c r="B9" s="27" t="s">
        <v>60</v>
      </c>
      <c r="C9" s="27" t="s">
        <v>37</v>
      </c>
      <c r="D9" s="27" t="s">
        <v>38</v>
      </c>
      <c r="E9" s="27" t="s">
        <v>39</v>
      </c>
      <c r="F9" s="353"/>
      <c r="G9" s="352"/>
      <c r="H9" s="352"/>
      <c r="I9" s="352"/>
      <c r="J9" s="352"/>
      <c r="K9" s="352"/>
      <c r="L9" s="352"/>
      <c r="M9" s="352"/>
      <c r="N9" s="352"/>
      <c r="O9" s="217"/>
      <c r="P9" s="353"/>
      <c r="Q9" s="400"/>
      <c r="R9" s="400"/>
      <c r="S9" s="400"/>
      <c r="T9" s="400"/>
      <c r="U9" s="400"/>
      <c r="V9" s="400"/>
      <c r="W9" s="400"/>
      <c r="X9" s="400"/>
      <c r="Y9" s="400"/>
      <c r="Z9" s="400"/>
      <c r="AA9" s="400"/>
      <c r="AB9" s="400"/>
      <c r="AC9" s="400"/>
      <c r="AD9" s="217"/>
      <c r="AE9" s="353"/>
      <c r="AF9" s="400"/>
      <c r="AG9" s="400"/>
      <c r="AH9" s="400"/>
      <c r="AI9" s="400"/>
      <c r="AJ9" s="400"/>
      <c r="AK9" s="400"/>
      <c r="AL9" s="400"/>
      <c r="AM9" s="400"/>
      <c r="AN9" s="400"/>
      <c r="AO9" s="400"/>
      <c r="AP9" s="400"/>
      <c r="AQ9" s="400"/>
      <c r="AR9" s="400"/>
      <c r="AS9" s="217"/>
      <c r="AT9" s="353"/>
      <c r="AU9" s="400"/>
      <c r="AV9" s="400"/>
      <c r="AW9" s="400"/>
      <c r="AX9" s="400"/>
      <c r="AY9" s="400"/>
      <c r="AZ9" s="400"/>
      <c r="BA9" s="400"/>
      <c r="BB9" s="400"/>
      <c r="BC9" s="400"/>
      <c r="BD9" s="400"/>
      <c r="BE9" s="400"/>
      <c r="BF9" s="400"/>
      <c r="BG9" s="400"/>
      <c r="BH9" s="217"/>
    </row>
    <row r="10" spans="1:60" ht="18">
      <c r="A10" s="28" t="s">
        <v>49</v>
      </c>
      <c r="B10" s="228">
        <f>'START HERE'!$K$3</f>
        <v>2018</v>
      </c>
      <c r="C10" s="228">
        <f>'START HERE'!$K$3</f>
        <v>2018</v>
      </c>
      <c r="D10" s="228">
        <f>'START HERE'!$K$3</f>
        <v>2018</v>
      </c>
      <c r="E10" s="227">
        <f>'START HERE'!$K$3</f>
        <v>2018</v>
      </c>
      <c r="F10" s="362"/>
      <c r="G10" s="354"/>
      <c r="H10" s="354"/>
      <c r="I10" s="354"/>
      <c r="J10" s="354"/>
      <c r="K10" s="354"/>
      <c r="L10" s="354"/>
      <c r="M10" s="354"/>
      <c r="N10" s="354"/>
      <c r="O10" s="217"/>
      <c r="P10" s="353"/>
      <c r="Q10" s="354"/>
      <c r="R10" s="354"/>
      <c r="S10" s="354"/>
      <c r="T10" s="354"/>
      <c r="U10" s="354"/>
      <c r="V10" s="354"/>
      <c r="W10" s="354"/>
      <c r="X10" s="354"/>
      <c r="Y10" s="354"/>
      <c r="Z10" s="354"/>
      <c r="AA10" s="354"/>
      <c r="AB10" s="354"/>
      <c r="AC10" s="354"/>
      <c r="AD10" s="217"/>
      <c r="AE10" s="353"/>
      <c r="AF10" s="354"/>
      <c r="AG10" s="354"/>
      <c r="AH10" s="354"/>
      <c r="AI10" s="354"/>
      <c r="AJ10" s="354"/>
      <c r="AK10" s="354"/>
      <c r="AL10" s="354"/>
      <c r="AM10" s="354"/>
      <c r="AN10" s="354"/>
      <c r="AO10" s="354"/>
      <c r="AP10" s="354"/>
      <c r="AQ10" s="354"/>
      <c r="AR10" s="354"/>
      <c r="AS10" s="217"/>
      <c r="AT10" s="353"/>
      <c r="AU10" s="354"/>
      <c r="AV10" s="354"/>
      <c r="AW10" s="354"/>
      <c r="AX10" s="354"/>
      <c r="AY10" s="354"/>
      <c r="AZ10" s="354"/>
      <c r="BA10" s="354"/>
      <c r="BB10" s="354"/>
      <c r="BC10" s="354"/>
      <c r="BD10" s="354"/>
      <c r="BE10" s="354"/>
      <c r="BF10" s="354"/>
      <c r="BG10" s="354"/>
      <c r="BH10" s="217"/>
    </row>
    <row r="11" spans="1:60">
      <c r="A11" s="254">
        <v>1</v>
      </c>
      <c r="B11" s="244"/>
      <c r="C11" s="245"/>
      <c r="D11" s="245"/>
      <c r="E11" s="356"/>
      <c r="F11" s="217"/>
      <c r="G11" s="217"/>
      <c r="H11" s="217"/>
      <c r="I11" s="217"/>
      <c r="J11" s="217"/>
      <c r="K11" s="217"/>
      <c r="L11" s="217"/>
      <c r="M11" s="217"/>
      <c r="N11" s="217"/>
      <c r="O11" s="217"/>
      <c r="P11" s="355"/>
      <c r="Q11" s="217"/>
      <c r="R11" s="217"/>
      <c r="S11" s="217"/>
      <c r="T11" s="217"/>
      <c r="U11" s="217"/>
      <c r="V11" s="217"/>
      <c r="W11" s="217"/>
      <c r="X11" s="217"/>
      <c r="Y11" s="217"/>
      <c r="Z11" s="217"/>
      <c r="AA11" s="217"/>
      <c r="AB11" s="217"/>
      <c r="AC11" s="217"/>
      <c r="AD11" s="217"/>
      <c r="AE11" s="355"/>
      <c r="AF11" s="217"/>
      <c r="AG11" s="217"/>
      <c r="AH11" s="217"/>
      <c r="AI11" s="217"/>
      <c r="AJ11" s="217"/>
      <c r="AK11" s="217"/>
      <c r="AL11" s="217"/>
      <c r="AM11" s="217"/>
      <c r="AN11" s="217"/>
      <c r="AO11" s="217"/>
      <c r="AP11" s="217"/>
      <c r="AQ11" s="217"/>
      <c r="AR11" s="217"/>
      <c r="AS11" s="217"/>
      <c r="AT11" s="355"/>
      <c r="AU11" s="217"/>
      <c r="AV11" s="217"/>
      <c r="AW11" s="217"/>
      <c r="AX11" s="217"/>
      <c r="AY11" s="217"/>
      <c r="AZ11" s="217"/>
      <c r="BA11" s="217"/>
      <c r="BB11" s="217"/>
      <c r="BC11" s="217"/>
      <c r="BD11" s="217"/>
      <c r="BE11" s="217"/>
      <c r="BF11" s="217"/>
      <c r="BG11" s="217"/>
      <c r="BH11" s="217"/>
    </row>
    <row r="12" spans="1:60">
      <c r="A12" s="254">
        <v>2</v>
      </c>
      <c r="B12" s="242"/>
      <c r="C12" s="243"/>
      <c r="D12" s="243"/>
      <c r="E12" s="357"/>
      <c r="F12" s="217"/>
      <c r="G12" s="217"/>
      <c r="H12" s="217"/>
      <c r="I12" s="217"/>
      <c r="J12" s="217"/>
      <c r="K12" s="217"/>
      <c r="L12" s="217"/>
      <c r="M12" s="217"/>
      <c r="N12" s="217"/>
      <c r="O12" s="217"/>
      <c r="P12" s="355"/>
      <c r="Q12" s="217"/>
      <c r="R12" s="217"/>
      <c r="S12" s="217"/>
      <c r="T12" s="217"/>
      <c r="U12" s="217"/>
      <c r="V12" s="217"/>
      <c r="W12" s="217"/>
      <c r="X12" s="217"/>
      <c r="Y12" s="217"/>
      <c r="Z12" s="217"/>
      <c r="AA12" s="217"/>
      <c r="AB12" s="217"/>
      <c r="AC12" s="217"/>
      <c r="AD12" s="217"/>
      <c r="AE12" s="355"/>
      <c r="AF12" s="217"/>
      <c r="AG12" s="217"/>
      <c r="AH12" s="217"/>
      <c r="AI12" s="217"/>
      <c r="AJ12" s="217"/>
      <c r="AK12" s="217"/>
      <c r="AL12" s="217"/>
      <c r="AM12" s="217"/>
      <c r="AN12" s="217"/>
      <c r="AO12" s="217"/>
      <c r="AP12" s="217"/>
      <c r="AQ12" s="217"/>
      <c r="AR12" s="217"/>
      <c r="AS12" s="217"/>
      <c r="AT12" s="355"/>
      <c r="AU12" s="217"/>
      <c r="AV12" s="217"/>
      <c r="AW12" s="217"/>
      <c r="AX12" s="217"/>
      <c r="AY12" s="217"/>
      <c r="AZ12" s="217"/>
      <c r="BA12" s="217"/>
      <c r="BB12" s="217"/>
      <c r="BC12" s="217"/>
      <c r="BD12" s="217"/>
      <c r="BE12" s="217"/>
      <c r="BF12" s="217"/>
      <c r="BG12" s="217"/>
      <c r="BH12" s="217"/>
    </row>
    <row r="13" spans="1:60">
      <c r="A13" s="254">
        <v>3</v>
      </c>
      <c r="B13" s="242"/>
      <c r="C13" s="243"/>
      <c r="D13" s="243"/>
      <c r="E13" s="357"/>
      <c r="F13" s="217"/>
      <c r="G13" s="217"/>
      <c r="H13" s="217"/>
      <c r="I13" s="217"/>
      <c r="J13" s="217"/>
      <c r="K13" s="217"/>
      <c r="L13" s="217"/>
      <c r="M13" s="217"/>
      <c r="N13" s="217"/>
      <c r="O13" s="217"/>
      <c r="P13" s="355"/>
      <c r="Q13" s="217"/>
      <c r="R13" s="217"/>
      <c r="S13" s="217"/>
      <c r="T13" s="217"/>
      <c r="U13" s="217"/>
      <c r="V13" s="217"/>
      <c r="W13" s="217"/>
      <c r="X13" s="217"/>
      <c r="Y13" s="217"/>
      <c r="Z13" s="217"/>
      <c r="AA13" s="217"/>
      <c r="AB13" s="217"/>
      <c r="AC13" s="217"/>
      <c r="AD13" s="217"/>
      <c r="AE13" s="355"/>
      <c r="AF13" s="217"/>
      <c r="AG13" s="217"/>
      <c r="AH13" s="217"/>
      <c r="AI13" s="217"/>
      <c r="AJ13" s="217"/>
      <c r="AK13" s="217"/>
      <c r="AL13" s="217"/>
      <c r="AM13" s="217"/>
      <c r="AN13" s="217"/>
      <c r="AO13" s="217"/>
      <c r="AP13" s="217"/>
      <c r="AQ13" s="217"/>
      <c r="AR13" s="217"/>
      <c r="AS13" s="217"/>
      <c r="AT13" s="355"/>
      <c r="AU13" s="217"/>
      <c r="AV13" s="217"/>
      <c r="AW13" s="217"/>
      <c r="AX13" s="217"/>
      <c r="AY13" s="217"/>
      <c r="AZ13" s="217"/>
      <c r="BA13" s="217"/>
      <c r="BB13" s="217"/>
      <c r="BC13" s="217"/>
      <c r="BD13" s="217"/>
      <c r="BE13" s="217"/>
      <c r="BF13" s="217"/>
      <c r="BG13" s="217"/>
      <c r="BH13" s="217"/>
    </row>
    <row r="14" spans="1:60">
      <c r="A14" s="254">
        <v>4</v>
      </c>
      <c r="B14" s="242"/>
      <c r="C14" s="243"/>
      <c r="D14" s="243"/>
      <c r="E14" s="357"/>
      <c r="F14" s="217"/>
      <c r="G14" s="217"/>
      <c r="H14" s="217"/>
      <c r="I14" s="217"/>
      <c r="J14" s="217"/>
      <c r="K14" s="217"/>
      <c r="L14" s="217"/>
      <c r="M14" s="217"/>
      <c r="N14" s="217"/>
      <c r="O14" s="217"/>
      <c r="P14" s="355"/>
      <c r="Q14" s="217"/>
      <c r="R14" s="217"/>
      <c r="S14" s="217"/>
      <c r="T14" s="217"/>
      <c r="U14" s="217"/>
      <c r="V14" s="217"/>
      <c r="W14" s="217"/>
      <c r="X14" s="217"/>
      <c r="Y14" s="217"/>
      <c r="Z14" s="217"/>
      <c r="AA14" s="217"/>
      <c r="AB14" s="217"/>
      <c r="AC14" s="217"/>
      <c r="AD14" s="217"/>
      <c r="AE14" s="355"/>
      <c r="AF14" s="217"/>
      <c r="AG14" s="217"/>
      <c r="AH14" s="217"/>
      <c r="AI14" s="217"/>
      <c r="AJ14" s="217"/>
      <c r="AK14" s="217"/>
      <c r="AL14" s="217"/>
      <c r="AM14" s="217"/>
      <c r="AN14" s="217"/>
      <c r="AO14" s="217"/>
      <c r="AP14" s="217"/>
      <c r="AQ14" s="217"/>
      <c r="AR14" s="217"/>
      <c r="AS14" s="217"/>
      <c r="AT14" s="355"/>
      <c r="AU14" s="217"/>
      <c r="AV14" s="217"/>
      <c r="AW14" s="217"/>
      <c r="AX14" s="217"/>
      <c r="AY14" s="217"/>
      <c r="AZ14" s="217"/>
      <c r="BA14" s="217"/>
      <c r="BB14" s="217"/>
      <c r="BC14" s="217"/>
      <c r="BD14" s="217"/>
      <c r="BE14" s="217"/>
      <c r="BF14" s="217"/>
      <c r="BG14" s="217"/>
      <c r="BH14" s="217"/>
    </row>
    <row r="15" spans="1:60">
      <c r="A15" s="254">
        <v>5</v>
      </c>
      <c r="B15" s="242"/>
      <c r="C15" s="243"/>
      <c r="D15" s="243"/>
      <c r="E15" s="357"/>
      <c r="F15" s="217"/>
      <c r="G15" s="217"/>
      <c r="H15" s="217"/>
      <c r="I15" s="217"/>
      <c r="J15" s="217"/>
      <c r="K15" s="217"/>
      <c r="L15" s="217"/>
      <c r="M15" s="217"/>
      <c r="N15" s="217"/>
      <c r="O15" s="217"/>
      <c r="P15" s="355"/>
      <c r="Q15" s="217"/>
      <c r="R15" s="217"/>
      <c r="S15" s="217"/>
      <c r="T15" s="217"/>
      <c r="U15" s="217"/>
      <c r="V15" s="217"/>
      <c r="W15" s="217"/>
      <c r="X15" s="217"/>
      <c r="Y15" s="217"/>
      <c r="Z15" s="217"/>
      <c r="AA15" s="217"/>
      <c r="AB15" s="217"/>
      <c r="AC15" s="217"/>
      <c r="AD15" s="217"/>
      <c r="AE15" s="355"/>
      <c r="AF15" s="217"/>
      <c r="AG15" s="217"/>
      <c r="AH15" s="217"/>
      <c r="AI15" s="217"/>
      <c r="AJ15" s="217"/>
      <c r="AK15" s="217"/>
      <c r="AL15" s="217"/>
      <c r="AM15" s="217"/>
      <c r="AN15" s="217"/>
      <c r="AO15" s="217"/>
      <c r="AP15" s="217"/>
      <c r="AQ15" s="217"/>
      <c r="AR15" s="217"/>
      <c r="AS15" s="217"/>
      <c r="AT15" s="355"/>
      <c r="AU15" s="217"/>
      <c r="AV15" s="217"/>
      <c r="AW15" s="217"/>
      <c r="AX15" s="217"/>
      <c r="AY15" s="217"/>
      <c r="AZ15" s="217"/>
      <c r="BA15" s="217"/>
      <c r="BB15" s="217"/>
      <c r="BC15" s="217"/>
      <c r="BD15" s="217"/>
      <c r="BE15" s="217"/>
      <c r="BF15" s="217"/>
      <c r="BG15" s="217"/>
      <c r="BH15" s="217"/>
    </row>
    <row r="16" spans="1:60">
      <c r="A16" s="254">
        <v>6</v>
      </c>
      <c r="B16" s="242"/>
      <c r="C16" s="243"/>
      <c r="D16" s="243"/>
      <c r="E16" s="357"/>
      <c r="F16" s="217"/>
      <c r="G16" s="217"/>
      <c r="H16" s="217"/>
      <c r="I16" s="217"/>
      <c r="J16" s="217"/>
      <c r="K16" s="217"/>
      <c r="L16" s="217"/>
      <c r="M16" s="217"/>
      <c r="N16" s="217"/>
      <c r="O16" s="217"/>
      <c r="P16" s="355"/>
      <c r="Q16" s="217"/>
      <c r="R16" s="217"/>
      <c r="S16" s="217"/>
      <c r="T16" s="217"/>
      <c r="U16" s="217"/>
      <c r="V16" s="217"/>
      <c r="W16" s="217"/>
      <c r="X16" s="217"/>
      <c r="Y16" s="217"/>
      <c r="Z16" s="217"/>
      <c r="AA16" s="217"/>
      <c r="AB16" s="217"/>
      <c r="AC16" s="217"/>
      <c r="AD16" s="217"/>
      <c r="AE16" s="355"/>
      <c r="AF16" s="217"/>
      <c r="AG16" s="217"/>
      <c r="AH16" s="217"/>
      <c r="AI16" s="217"/>
      <c r="AJ16" s="217"/>
      <c r="AK16" s="217"/>
      <c r="AL16" s="217"/>
      <c r="AM16" s="217"/>
      <c r="AN16" s="217"/>
      <c r="AO16" s="217"/>
      <c r="AP16" s="217"/>
      <c r="AQ16" s="217"/>
      <c r="AR16" s="217"/>
      <c r="AS16" s="217"/>
      <c r="AT16" s="355"/>
      <c r="AU16" s="217"/>
      <c r="AV16" s="217"/>
      <c r="AW16" s="217"/>
      <c r="AX16" s="217"/>
      <c r="AY16" s="217"/>
      <c r="AZ16" s="217"/>
      <c r="BA16" s="217"/>
      <c r="BB16" s="217"/>
      <c r="BC16" s="217"/>
      <c r="BD16" s="217"/>
      <c r="BE16" s="217"/>
      <c r="BF16" s="217"/>
      <c r="BG16" s="217"/>
      <c r="BH16" s="217"/>
    </row>
    <row r="17" spans="1:60">
      <c r="A17" s="254">
        <v>7</v>
      </c>
      <c r="B17" s="242"/>
      <c r="C17" s="243"/>
      <c r="D17" s="243"/>
      <c r="E17" s="357"/>
      <c r="F17" s="217"/>
      <c r="G17" s="217"/>
      <c r="H17" s="217"/>
      <c r="I17" s="217"/>
      <c r="J17" s="217"/>
      <c r="K17" s="217"/>
      <c r="L17" s="217"/>
      <c r="M17" s="217"/>
      <c r="N17" s="217"/>
      <c r="O17" s="217"/>
      <c r="P17" s="355"/>
      <c r="Q17" s="217"/>
      <c r="R17" s="217"/>
      <c r="S17" s="217"/>
      <c r="T17" s="217"/>
      <c r="U17" s="217"/>
      <c r="V17" s="217"/>
      <c r="W17" s="217"/>
      <c r="X17" s="217"/>
      <c r="Y17" s="217"/>
      <c r="Z17" s="217"/>
      <c r="AA17" s="217"/>
      <c r="AB17" s="217"/>
      <c r="AC17" s="217"/>
      <c r="AD17" s="217"/>
      <c r="AE17" s="355"/>
      <c r="AF17" s="217"/>
      <c r="AG17" s="217"/>
      <c r="AH17" s="217"/>
      <c r="AI17" s="217"/>
      <c r="AJ17" s="217"/>
      <c r="AK17" s="217"/>
      <c r="AL17" s="217"/>
      <c r="AM17" s="217"/>
      <c r="AN17" s="217"/>
      <c r="AO17" s="217"/>
      <c r="AP17" s="217"/>
      <c r="AQ17" s="217"/>
      <c r="AR17" s="217"/>
      <c r="AS17" s="217"/>
      <c r="AT17" s="355"/>
      <c r="AU17" s="217"/>
      <c r="AV17" s="217"/>
      <c r="AW17" s="217"/>
      <c r="AX17" s="217"/>
      <c r="AY17" s="217"/>
      <c r="AZ17" s="217"/>
      <c r="BA17" s="217"/>
      <c r="BB17" s="217"/>
      <c r="BC17" s="217"/>
      <c r="BD17" s="217"/>
      <c r="BE17" s="217"/>
      <c r="BF17" s="217"/>
      <c r="BG17" s="217"/>
      <c r="BH17" s="217"/>
    </row>
    <row r="18" spans="1:60">
      <c r="A18" s="254">
        <v>8</v>
      </c>
      <c r="B18" s="242"/>
      <c r="C18" s="243"/>
      <c r="D18" s="243"/>
      <c r="E18" s="357"/>
      <c r="F18" s="217"/>
      <c r="G18" s="217"/>
      <c r="H18" s="217"/>
      <c r="I18" s="217"/>
      <c r="J18" s="217"/>
      <c r="K18" s="217"/>
      <c r="L18" s="217"/>
      <c r="M18" s="217"/>
      <c r="N18" s="217"/>
      <c r="O18" s="217"/>
      <c r="P18" s="355"/>
      <c r="Q18" s="217"/>
      <c r="R18" s="217"/>
      <c r="S18" s="217"/>
      <c r="T18" s="217"/>
      <c r="U18" s="217"/>
      <c r="V18" s="217"/>
      <c r="W18" s="217"/>
      <c r="X18" s="217"/>
      <c r="Y18" s="217"/>
      <c r="Z18" s="217"/>
      <c r="AA18" s="217"/>
      <c r="AB18" s="217"/>
      <c r="AC18" s="217"/>
      <c r="AD18" s="217"/>
      <c r="AE18" s="355"/>
      <c r="AF18" s="217"/>
      <c r="AG18" s="217"/>
      <c r="AH18" s="217"/>
      <c r="AI18" s="217"/>
      <c r="AJ18" s="217"/>
      <c r="AK18" s="217"/>
      <c r="AL18" s="217"/>
      <c r="AM18" s="217"/>
      <c r="AN18" s="217"/>
      <c r="AO18" s="217"/>
      <c r="AP18" s="217"/>
      <c r="AQ18" s="217"/>
      <c r="AR18" s="217"/>
      <c r="AS18" s="217"/>
      <c r="AT18" s="355"/>
      <c r="AU18" s="217"/>
      <c r="AV18" s="217"/>
      <c r="AW18" s="217"/>
      <c r="AX18" s="217"/>
      <c r="AY18" s="217"/>
      <c r="AZ18" s="217"/>
      <c r="BA18" s="217"/>
      <c r="BB18" s="217"/>
      <c r="BC18" s="217"/>
      <c r="BD18" s="217"/>
      <c r="BE18" s="217"/>
      <c r="BF18" s="217"/>
      <c r="BG18" s="217"/>
      <c r="BH18" s="217"/>
    </row>
    <row r="19" spans="1:60">
      <c r="A19" s="254">
        <v>9</v>
      </c>
      <c r="B19" s="242"/>
      <c r="C19" s="243"/>
      <c r="D19" s="243"/>
      <c r="E19" s="357"/>
      <c r="F19" s="217"/>
      <c r="G19" s="217"/>
      <c r="H19" s="217"/>
      <c r="I19" s="217"/>
      <c r="J19" s="217"/>
      <c r="K19" s="217"/>
      <c r="L19" s="217"/>
      <c r="M19" s="217"/>
      <c r="N19" s="217"/>
      <c r="O19" s="217"/>
      <c r="P19" s="355"/>
      <c r="Q19" s="217"/>
      <c r="R19" s="217"/>
      <c r="S19" s="217"/>
      <c r="T19" s="217"/>
      <c r="U19" s="217"/>
      <c r="V19" s="217"/>
      <c r="W19" s="217"/>
      <c r="X19" s="217"/>
      <c r="Y19" s="217"/>
      <c r="Z19" s="217"/>
      <c r="AA19" s="217"/>
      <c r="AB19" s="217"/>
      <c r="AC19" s="217"/>
      <c r="AD19" s="217"/>
      <c r="AE19" s="355"/>
      <c r="AF19" s="217"/>
      <c r="AG19" s="217"/>
      <c r="AH19" s="217"/>
      <c r="AI19" s="217"/>
      <c r="AJ19" s="217"/>
      <c r="AK19" s="217"/>
      <c r="AL19" s="217"/>
      <c r="AM19" s="217"/>
      <c r="AN19" s="217"/>
      <c r="AO19" s="217"/>
      <c r="AP19" s="217"/>
      <c r="AQ19" s="217"/>
      <c r="AR19" s="217"/>
      <c r="AS19" s="217"/>
      <c r="AT19" s="355"/>
      <c r="AU19" s="217"/>
      <c r="AV19" s="217"/>
      <c r="AW19" s="217"/>
      <c r="AX19" s="217"/>
      <c r="AY19" s="217"/>
      <c r="AZ19" s="217"/>
      <c r="BA19" s="217"/>
      <c r="BB19" s="217"/>
      <c r="BC19" s="217"/>
      <c r="BD19" s="217"/>
      <c r="BE19" s="217"/>
      <c r="BF19" s="217"/>
      <c r="BG19" s="217"/>
      <c r="BH19" s="217"/>
    </row>
    <row r="20" spans="1:60">
      <c r="A20" s="254">
        <v>10</v>
      </c>
      <c r="B20" s="242"/>
      <c r="C20" s="243"/>
      <c r="D20" s="243"/>
      <c r="E20" s="357"/>
      <c r="F20" s="217"/>
      <c r="G20" s="217"/>
      <c r="H20" s="217"/>
      <c r="I20" s="217"/>
      <c r="J20" s="217"/>
      <c r="K20" s="217"/>
      <c r="L20" s="217"/>
      <c r="M20" s="217"/>
      <c r="N20" s="217"/>
      <c r="O20" s="217"/>
      <c r="P20" s="355"/>
      <c r="Q20" s="217"/>
      <c r="R20" s="217"/>
      <c r="S20" s="217"/>
      <c r="T20" s="217"/>
      <c r="U20" s="217"/>
      <c r="V20" s="217"/>
      <c r="W20" s="217"/>
      <c r="X20" s="217"/>
      <c r="Y20" s="217"/>
      <c r="Z20" s="217"/>
      <c r="AA20" s="217"/>
      <c r="AB20" s="217"/>
      <c r="AC20" s="217"/>
      <c r="AD20" s="217"/>
      <c r="AE20" s="355"/>
      <c r="AF20" s="217"/>
      <c r="AG20" s="217"/>
      <c r="AH20" s="217"/>
      <c r="AI20" s="217"/>
      <c r="AJ20" s="217"/>
      <c r="AK20" s="217"/>
      <c r="AL20" s="217"/>
      <c r="AM20" s="217"/>
      <c r="AN20" s="217"/>
      <c r="AO20" s="217"/>
      <c r="AP20" s="217"/>
      <c r="AQ20" s="217"/>
      <c r="AR20" s="217"/>
      <c r="AS20" s="217"/>
      <c r="AT20" s="355"/>
      <c r="AU20" s="217"/>
      <c r="AV20" s="217"/>
      <c r="AW20" s="217"/>
      <c r="AX20" s="217"/>
      <c r="AY20" s="217"/>
      <c r="AZ20" s="217"/>
      <c r="BA20" s="217"/>
      <c r="BB20" s="217"/>
      <c r="BC20" s="217"/>
      <c r="BD20" s="217"/>
      <c r="BE20" s="217"/>
      <c r="BF20" s="217"/>
      <c r="BG20" s="217"/>
      <c r="BH20" s="217"/>
    </row>
    <row r="21" spans="1:60">
      <c r="A21" s="254">
        <v>11</v>
      </c>
      <c r="B21" s="242"/>
      <c r="C21" s="243"/>
      <c r="D21" s="243"/>
      <c r="E21" s="357"/>
      <c r="F21" s="217"/>
      <c r="G21" s="217"/>
      <c r="H21" s="217"/>
      <c r="I21" s="217"/>
      <c r="J21" s="217"/>
      <c r="K21" s="217"/>
      <c r="L21" s="217"/>
      <c r="M21" s="217"/>
      <c r="N21" s="217"/>
      <c r="O21" s="217"/>
      <c r="P21" s="355"/>
      <c r="Q21" s="217"/>
      <c r="R21" s="217"/>
      <c r="S21" s="217"/>
      <c r="T21" s="217"/>
      <c r="U21" s="217"/>
      <c r="V21" s="217"/>
      <c r="W21" s="217"/>
      <c r="X21" s="217"/>
      <c r="Y21" s="217"/>
      <c r="Z21" s="217"/>
      <c r="AA21" s="217"/>
      <c r="AB21" s="217"/>
      <c r="AC21" s="217"/>
      <c r="AD21" s="217"/>
      <c r="AE21" s="355"/>
      <c r="AF21" s="217"/>
      <c r="AG21" s="217"/>
      <c r="AH21" s="217"/>
      <c r="AI21" s="217"/>
      <c r="AJ21" s="217"/>
      <c r="AK21" s="217"/>
      <c r="AL21" s="217"/>
      <c r="AM21" s="217"/>
      <c r="AN21" s="217"/>
      <c r="AO21" s="217"/>
      <c r="AP21" s="217"/>
      <c r="AQ21" s="217"/>
      <c r="AR21" s="217"/>
      <c r="AS21" s="217"/>
      <c r="AT21" s="355"/>
      <c r="AU21" s="217"/>
      <c r="AV21" s="217"/>
      <c r="AW21" s="217"/>
      <c r="AX21" s="217"/>
      <c r="AY21" s="217"/>
      <c r="AZ21" s="217"/>
      <c r="BA21" s="217"/>
      <c r="BB21" s="217"/>
      <c r="BC21" s="217"/>
      <c r="BD21" s="217"/>
      <c r="BE21" s="217"/>
      <c r="BF21" s="217"/>
      <c r="BG21" s="217"/>
      <c r="BH21" s="217"/>
    </row>
    <row r="22" spans="1:60">
      <c r="A22" s="254">
        <v>12</v>
      </c>
      <c r="B22" s="242"/>
      <c r="C22" s="243"/>
      <c r="D22" s="243"/>
      <c r="E22" s="357"/>
      <c r="F22" s="217"/>
      <c r="G22" s="217"/>
      <c r="H22" s="217"/>
      <c r="I22" s="217"/>
      <c r="J22" s="217"/>
      <c r="K22" s="217"/>
      <c r="L22" s="217"/>
      <c r="M22" s="217"/>
      <c r="N22" s="217"/>
      <c r="O22" s="217"/>
      <c r="P22" s="355"/>
      <c r="Q22" s="217"/>
      <c r="R22" s="217"/>
      <c r="S22" s="217"/>
      <c r="T22" s="217"/>
      <c r="U22" s="217"/>
      <c r="V22" s="217"/>
      <c r="W22" s="217"/>
      <c r="X22" s="217"/>
      <c r="Y22" s="217"/>
      <c r="Z22" s="217"/>
      <c r="AA22" s="217"/>
      <c r="AB22" s="217"/>
      <c r="AC22" s="217"/>
      <c r="AD22" s="217"/>
      <c r="AE22" s="355"/>
      <c r="AF22" s="217"/>
      <c r="AG22" s="217"/>
      <c r="AH22" s="217"/>
      <c r="AI22" s="217"/>
      <c r="AJ22" s="217"/>
      <c r="AK22" s="217"/>
      <c r="AL22" s="217"/>
      <c r="AM22" s="217"/>
      <c r="AN22" s="217"/>
      <c r="AO22" s="217"/>
      <c r="AP22" s="217"/>
      <c r="AQ22" s="217"/>
      <c r="AR22" s="217"/>
      <c r="AS22" s="217"/>
      <c r="AT22" s="355"/>
      <c r="AU22" s="217"/>
      <c r="AV22" s="217"/>
      <c r="AW22" s="217"/>
      <c r="AX22" s="217"/>
      <c r="AY22" s="217"/>
      <c r="AZ22" s="217"/>
      <c r="BA22" s="217"/>
      <c r="BB22" s="217"/>
      <c r="BC22" s="217"/>
      <c r="BD22" s="217"/>
      <c r="BE22" s="217"/>
      <c r="BF22" s="217"/>
      <c r="BG22" s="217"/>
      <c r="BH22" s="217"/>
    </row>
    <row r="23" spans="1:60">
      <c r="A23" s="254">
        <v>13</v>
      </c>
      <c r="B23" s="242"/>
      <c r="C23" s="243"/>
      <c r="D23" s="243"/>
      <c r="E23" s="357"/>
      <c r="F23" s="217"/>
      <c r="G23" s="217"/>
      <c r="H23" s="217"/>
      <c r="I23" s="217"/>
      <c r="J23" s="217"/>
      <c r="K23" s="217"/>
      <c r="L23" s="217"/>
      <c r="M23" s="217"/>
      <c r="N23" s="217"/>
      <c r="O23" s="217"/>
      <c r="P23" s="355"/>
      <c r="Q23" s="217"/>
      <c r="R23" s="217"/>
      <c r="S23" s="217"/>
      <c r="T23" s="217"/>
      <c r="U23" s="217"/>
      <c r="V23" s="217"/>
      <c r="W23" s="217"/>
      <c r="X23" s="217"/>
      <c r="Y23" s="217"/>
      <c r="Z23" s="217"/>
      <c r="AA23" s="217"/>
      <c r="AB23" s="217"/>
      <c r="AC23" s="217"/>
      <c r="AD23" s="217"/>
      <c r="AE23" s="355"/>
      <c r="AF23" s="217"/>
      <c r="AG23" s="217"/>
      <c r="AH23" s="217"/>
      <c r="AI23" s="217"/>
      <c r="AJ23" s="217"/>
      <c r="AK23" s="217"/>
      <c r="AL23" s="217"/>
      <c r="AM23" s="217"/>
      <c r="AN23" s="217"/>
      <c r="AO23" s="217"/>
      <c r="AP23" s="217"/>
      <c r="AQ23" s="217"/>
      <c r="AR23" s="217"/>
      <c r="AS23" s="217"/>
      <c r="AT23" s="355"/>
      <c r="AU23" s="217"/>
      <c r="AV23" s="217"/>
      <c r="AW23" s="217"/>
      <c r="AX23" s="217"/>
      <c r="AY23" s="217"/>
      <c r="AZ23" s="217"/>
      <c r="BA23" s="217"/>
      <c r="BB23" s="217"/>
      <c r="BC23" s="217"/>
      <c r="BD23" s="217"/>
      <c r="BE23" s="217"/>
      <c r="BF23" s="217"/>
      <c r="BG23" s="217"/>
      <c r="BH23" s="217"/>
    </row>
    <row r="24" spans="1:60">
      <c r="A24" s="254">
        <v>14</v>
      </c>
      <c r="B24" s="242"/>
      <c r="C24" s="243"/>
      <c r="D24" s="243"/>
      <c r="E24" s="357"/>
      <c r="F24" s="217"/>
      <c r="G24" s="217"/>
      <c r="H24" s="217"/>
      <c r="I24" s="217"/>
      <c r="J24" s="217"/>
      <c r="K24" s="217"/>
      <c r="L24" s="217"/>
      <c r="M24" s="217"/>
      <c r="N24" s="217"/>
      <c r="O24" s="217"/>
      <c r="P24" s="355"/>
      <c r="Q24" s="217"/>
      <c r="R24" s="217"/>
      <c r="S24" s="217"/>
      <c r="T24" s="217"/>
      <c r="U24" s="217"/>
      <c r="V24" s="217"/>
      <c r="W24" s="217"/>
      <c r="X24" s="217"/>
      <c r="Y24" s="217"/>
      <c r="Z24" s="217"/>
      <c r="AA24" s="217"/>
      <c r="AB24" s="217"/>
      <c r="AC24" s="217"/>
      <c r="AD24" s="217"/>
      <c r="AE24" s="355"/>
      <c r="AF24" s="217"/>
      <c r="AG24" s="217"/>
      <c r="AH24" s="217"/>
      <c r="AI24" s="217"/>
      <c r="AJ24" s="217"/>
      <c r="AK24" s="217"/>
      <c r="AL24" s="217"/>
      <c r="AM24" s="217"/>
      <c r="AN24" s="217"/>
      <c r="AO24" s="217"/>
      <c r="AP24" s="217"/>
      <c r="AQ24" s="217"/>
      <c r="AR24" s="217"/>
      <c r="AS24" s="217"/>
      <c r="AT24" s="355"/>
      <c r="AU24" s="217"/>
      <c r="AV24" s="217"/>
      <c r="AW24" s="217"/>
      <c r="AX24" s="217"/>
      <c r="AY24" s="217"/>
      <c r="AZ24" s="217"/>
      <c r="BA24" s="217"/>
      <c r="BB24" s="217"/>
      <c r="BC24" s="217"/>
      <c r="BD24" s="217"/>
      <c r="BE24" s="217"/>
      <c r="BF24" s="217"/>
      <c r="BG24" s="217"/>
      <c r="BH24" s="217"/>
    </row>
    <row r="25" spans="1:60">
      <c r="A25" s="254">
        <v>15</v>
      </c>
      <c r="B25" s="242"/>
      <c r="C25" s="243"/>
      <c r="D25" s="243"/>
      <c r="E25" s="357"/>
      <c r="F25" s="217"/>
      <c r="G25" s="217"/>
      <c r="H25" s="217"/>
      <c r="I25" s="217"/>
      <c r="J25" s="217"/>
      <c r="K25" s="217"/>
      <c r="L25" s="217"/>
      <c r="M25" s="217"/>
      <c r="N25" s="217"/>
      <c r="O25" s="217"/>
      <c r="P25" s="355"/>
      <c r="Q25" s="217"/>
      <c r="R25" s="217"/>
      <c r="S25" s="217"/>
      <c r="T25" s="217"/>
      <c r="U25" s="217"/>
      <c r="V25" s="217"/>
      <c r="W25" s="217"/>
      <c r="X25" s="217"/>
      <c r="Y25" s="217"/>
      <c r="Z25" s="217"/>
      <c r="AA25" s="217"/>
      <c r="AB25" s="217"/>
      <c r="AC25" s="217"/>
      <c r="AD25" s="217"/>
      <c r="AE25" s="355"/>
      <c r="AF25" s="217"/>
      <c r="AG25" s="217"/>
      <c r="AH25" s="217"/>
      <c r="AI25" s="217"/>
      <c r="AJ25" s="217"/>
      <c r="AK25" s="217"/>
      <c r="AL25" s="217"/>
      <c r="AM25" s="217"/>
      <c r="AN25" s="217"/>
      <c r="AO25" s="217"/>
      <c r="AP25" s="217"/>
      <c r="AQ25" s="217"/>
      <c r="AR25" s="217"/>
      <c r="AS25" s="217"/>
      <c r="AT25" s="355"/>
      <c r="AU25" s="217"/>
      <c r="AV25" s="217"/>
      <c r="AW25" s="217"/>
      <c r="AX25" s="217"/>
      <c r="AY25" s="217"/>
      <c r="AZ25" s="217"/>
      <c r="BA25" s="217"/>
      <c r="BB25" s="217"/>
      <c r="BC25" s="217"/>
      <c r="BD25" s="217"/>
      <c r="BE25" s="217"/>
      <c r="BF25" s="217"/>
      <c r="BG25" s="217"/>
      <c r="BH25" s="217"/>
    </row>
    <row r="26" spans="1:60">
      <c r="A26" s="254">
        <v>16</v>
      </c>
      <c r="B26" s="242"/>
      <c r="C26" s="243"/>
      <c r="D26" s="243"/>
      <c r="E26" s="357"/>
      <c r="F26" s="217"/>
      <c r="G26" s="217"/>
      <c r="H26" s="217"/>
      <c r="I26" s="217"/>
      <c r="J26" s="217"/>
      <c r="K26" s="217"/>
      <c r="L26" s="217"/>
      <c r="M26" s="217"/>
      <c r="N26" s="217"/>
      <c r="O26" s="217"/>
      <c r="P26" s="355"/>
      <c r="Q26" s="217"/>
      <c r="R26" s="217"/>
      <c r="S26" s="217"/>
      <c r="T26" s="217"/>
      <c r="U26" s="217"/>
      <c r="V26" s="217"/>
      <c r="W26" s="217"/>
      <c r="X26" s="217"/>
      <c r="Y26" s="217"/>
      <c r="Z26" s="217"/>
      <c r="AA26" s="217"/>
      <c r="AB26" s="217"/>
      <c r="AC26" s="217"/>
      <c r="AD26" s="217"/>
      <c r="AE26" s="355"/>
      <c r="AF26" s="217"/>
      <c r="AG26" s="217"/>
      <c r="AH26" s="217"/>
      <c r="AI26" s="217"/>
      <c r="AJ26" s="217"/>
      <c r="AK26" s="217"/>
      <c r="AL26" s="217"/>
      <c r="AM26" s="217"/>
      <c r="AN26" s="217"/>
      <c r="AO26" s="217"/>
      <c r="AP26" s="217"/>
      <c r="AQ26" s="217"/>
      <c r="AR26" s="217"/>
      <c r="AS26" s="217"/>
      <c r="AT26" s="355"/>
      <c r="AU26" s="217"/>
      <c r="AV26" s="217"/>
      <c r="AW26" s="217"/>
      <c r="AX26" s="217"/>
      <c r="AY26" s="217"/>
      <c r="AZ26" s="217"/>
      <c r="BA26" s="217"/>
      <c r="BB26" s="217"/>
      <c r="BC26" s="217"/>
      <c r="BD26" s="217"/>
      <c r="BE26" s="217"/>
      <c r="BF26" s="217"/>
      <c r="BG26" s="217"/>
      <c r="BH26" s="217"/>
    </row>
    <row r="27" spans="1:60">
      <c r="A27" s="254">
        <v>17</v>
      </c>
      <c r="B27" s="242"/>
      <c r="C27" s="243"/>
      <c r="D27" s="243"/>
      <c r="E27" s="357"/>
      <c r="F27" s="217"/>
      <c r="G27" s="217"/>
      <c r="H27" s="217"/>
      <c r="I27" s="217"/>
      <c r="J27" s="217"/>
      <c r="K27" s="217"/>
      <c r="L27" s="217"/>
      <c r="M27" s="217"/>
      <c r="N27" s="217"/>
      <c r="O27" s="217"/>
      <c r="P27" s="355"/>
      <c r="Q27" s="217"/>
      <c r="R27" s="217"/>
      <c r="S27" s="217"/>
      <c r="T27" s="217"/>
      <c r="U27" s="217"/>
      <c r="V27" s="217"/>
      <c r="W27" s="217"/>
      <c r="X27" s="217"/>
      <c r="Y27" s="217"/>
      <c r="Z27" s="217"/>
      <c r="AA27" s="217"/>
      <c r="AB27" s="217"/>
      <c r="AC27" s="217"/>
      <c r="AD27" s="217"/>
      <c r="AE27" s="355"/>
      <c r="AF27" s="217"/>
      <c r="AG27" s="217"/>
      <c r="AH27" s="217"/>
      <c r="AI27" s="217"/>
      <c r="AJ27" s="217"/>
      <c r="AK27" s="217"/>
      <c r="AL27" s="217"/>
      <c r="AM27" s="217"/>
      <c r="AN27" s="217"/>
      <c r="AO27" s="217"/>
      <c r="AP27" s="217"/>
      <c r="AQ27" s="217"/>
      <c r="AR27" s="217"/>
      <c r="AS27" s="217"/>
      <c r="AT27" s="355"/>
      <c r="AU27" s="217"/>
      <c r="AV27" s="217"/>
      <c r="AW27" s="217"/>
      <c r="AX27" s="217"/>
      <c r="AY27" s="217"/>
      <c r="AZ27" s="217"/>
      <c r="BA27" s="217"/>
      <c r="BB27" s="217"/>
      <c r="BC27" s="217"/>
      <c r="BD27" s="217"/>
      <c r="BE27" s="217"/>
      <c r="BF27" s="217"/>
      <c r="BG27" s="217"/>
      <c r="BH27" s="217"/>
    </row>
    <row r="28" spans="1:60">
      <c r="A28" s="254">
        <v>18</v>
      </c>
      <c r="B28" s="242"/>
      <c r="C28" s="243"/>
      <c r="D28" s="243"/>
      <c r="E28" s="357"/>
      <c r="F28" s="217"/>
      <c r="G28" s="217"/>
      <c r="H28" s="217"/>
      <c r="I28" s="217"/>
      <c r="J28" s="217"/>
      <c r="K28" s="217"/>
      <c r="L28" s="217"/>
      <c r="M28" s="217"/>
      <c r="N28" s="217"/>
      <c r="O28" s="217"/>
      <c r="P28" s="355"/>
      <c r="Q28" s="217"/>
      <c r="R28" s="217"/>
      <c r="S28" s="217"/>
      <c r="T28" s="217"/>
      <c r="U28" s="217"/>
      <c r="V28" s="217"/>
      <c r="W28" s="217"/>
      <c r="X28" s="217"/>
      <c r="Y28" s="217"/>
      <c r="Z28" s="217"/>
      <c r="AA28" s="217"/>
      <c r="AB28" s="217"/>
      <c r="AC28" s="217"/>
      <c r="AD28" s="217"/>
      <c r="AE28" s="355"/>
      <c r="AF28" s="217"/>
      <c r="AG28" s="217"/>
      <c r="AH28" s="217"/>
      <c r="AI28" s="217"/>
      <c r="AJ28" s="217"/>
      <c r="AK28" s="217"/>
      <c r="AL28" s="217"/>
      <c r="AM28" s="217"/>
      <c r="AN28" s="217"/>
      <c r="AO28" s="217"/>
      <c r="AP28" s="217"/>
      <c r="AQ28" s="217"/>
      <c r="AR28" s="217"/>
      <c r="AS28" s="217"/>
      <c r="AT28" s="355"/>
      <c r="AU28" s="217"/>
      <c r="AV28" s="217"/>
      <c r="AW28" s="217"/>
      <c r="AX28" s="217"/>
      <c r="AY28" s="217"/>
      <c r="AZ28" s="217"/>
      <c r="BA28" s="217"/>
      <c r="BB28" s="217"/>
      <c r="BC28" s="217"/>
      <c r="BD28" s="217"/>
      <c r="BE28" s="217"/>
      <c r="BF28" s="217"/>
      <c r="BG28" s="217"/>
      <c r="BH28" s="217"/>
    </row>
    <row r="29" spans="1:60">
      <c r="A29" s="254">
        <v>19</v>
      </c>
      <c r="B29" s="242"/>
      <c r="C29" s="243"/>
      <c r="D29" s="243"/>
      <c r="E29" s="357"/>
      <c r="F29" s="217"/>
      <c r="G29" s="217"/>
      <c r="H29" s="217"/>
      <c r="I29" s="217"/>
      <c r="J29" s="217"/>
      <c r="K29" s="217"/>
      <c r="L29" s="217"/>
      <c r="M29" s="217"/>
      <c r="N29" s="217"/>
      <c r="O29" s="217"/>
      <c r="P29" s="355"/>
      <c r="Q29" s="217"/>
      <c r="R29" s="217"/>
      <c r="S29" s="217"/>
      <c r="T29" s="217"/>
      <c r="U29" s="217"/>
      <c r="V29" s="217"/>
      <c r="W29" s="217"/>
      <c r="X29" s="217"/>
      <c r="Y29" s="217"/>
      <c r="Z29" s="217"/>
      <c r="AA29" s="217"/>
      <c r="AB29" s="217"/>
      <c r="AC29" s="217"/>
      <c r="AD29" s="217"/>
      <c r="AE29" s="355"/>
      <c r="AF29" s="217"/>
      <c r="AG29" s="217"/>
      <c r="AH29" s="217"/>
      <c r="AI29" s="217"/>
      <c r="AJ29" s="217"/>
      <c r="AK29" s="217"/>
      <c r="AL29" s="217"/>
      <c r="AM29" s="217"/>
      <c r="AN29" s="217"/>
      <c r="AO29" s="217"/>
      <c r="AP29" s="217"/>
      <c r="AQ29" s="217"/>
      <c r="AR29" s="217"/>
      <c r="AS29" s="217"/>
      <c r="AT29" s="355"/>
      <c r="AU29" s="217"/>
      <c r="AV29" s="217"/>
      <c r="AW29" s="217"/>
      <c r="AX29" s="217"/>
      <c r="AY29" s="217"/>
      <c r="AZ29" s="217"/>
      <c r="BA29" s="217"/>
      <c r="BB29" s="217"/>
      <c r="BC29" s="217"/>
      <c r="BD29" s="217"/>
      <c r="BE29" s="217"/>
      <c r="BF29" s="217"/>
      <c r="BG29" s="217"/>
      <c r="BH29" s="217"/>
    </row>
    <row r="30" spans="1:60">
      <c r="A30" s="254">
        <v>20</v>
      </c>
      <c r="B30" s="242"/>
      <c r="C30" s="243"/>
      <c r="D30" s="243"/>
      <c r="E30" s="357"/>
      <c r="F30" s="217"/>
      <c r="G30" s="217"/>
      <c r="H30" s="217"/>
      <c r="I30" s="217"/>
      <c r="J30" s="217"/>
      <c r="K30" s="217"/>
      <c r="L30" s="217"/>
      <c r="M30" s="217"/>
      <c r="N30" s="217"/>
      <c r="O30" s="217"/>
      <c r="P30" s="355"/>
      <c r="Q30" s="217"/>
      <c r="R30" s="217"/>
      <c r="S30" s="217"/>
      <c r="T30" s="217"/>
      <c r="U30" s="217"/>
      <c r="V30" s="217"/>
      <c r="W30" s="217"/>
      <c r="X30" s="217"/>
      <c r="Y30" s="217"/>
      <c r="Z30" s="217"/>
      <c r="AA30" s="217"/>
      <c r="AB30" s="217"/>
      <c r="AC30" s="217"/>
      <c r="AD30" s="217"/>
      <c r="AE30" s="355"/>
      <c r="AF30" s="217"/>
      <c r="AG30" s="217"/>
      <c r="AH30" s="217"/>
      <c r="AI30" s="217"/>
      <c r="AJ30" s="217"/>
      <c r="AK30" s="217"/>
      <c r="AL30" s="217"/>
      <c r="AM30" s="217"/>
      <c r="AN30" s="217"/>
      <c r="AO30" s="217"/>
      <c r="AP30" s="217"/>
      <c r="AQ30" s="217"/>
      <c r="AR30" s="217"/>
      <c r="AS30" s="217"/>
      <c r="AT30" s="355"/>
      <c r="AU30" s="217"/>
      <c r="AV30" s="217"/>
      <c r="AW30" s="217"/>
      <c r="AX30" s="217"/>
      <c r="AY30" s="217"/>
      <c r="AZ30" s="217"/>
      <c r="BA30" s="217"/>
      <c r="BB30" s="217"/>
      <c r="BC30" s="217"/>
      <c r="BD30" s="217"/>
      <c r="BE30" s="217"/>
      <c r="BF30" s="217"/>
      <c r="BG30" s="217"/>
      <c r="BH30" s="217"/>
    </row>
    <row r="31" spans="1:60">
      <c r="A31" s="254">
        <v>21</v>
      </c>
      <c r="B31" s="242"/>
      <c r="C31" s="243"/>
      <c r="D31" s="243"/>
      <c r="E31" s="357"/>
      <c r="F31" s="217"/>
      <c r="G31" s="217"/>
      <c r="H31" s="217"/>
      <c r="I31" s="217"/>
      <c r="J31" s="217"/>
      <c r="K31" s="217"/>
      <c r="L31" s="217"/>
      <c r="M31" s="217"/>
      <c r="N31" s="217"/>
      <c r="O31" s="217"/>
      <c r="P31" s="355"/>
      <c r="Q31" s="217"/>
      <c r="R31" s="217"/>
      <c r="S31" s="217"/>
      <c r="T31" s="217"/>
      <c r="U31" s="217"/>
      <c r="V31" s="217"/>
      <c r="W31" s="217"/>
      <c r="X31" s="217"/>
      <c r="Y31" s="217"/>
      <c r="Z31" s="217"/>
      <c r="AA31" s="217"/>
      <c r="AB31" s="217"/>
      <c r="AC31" s="217"/>
      <c r="AD31" s="217"/>
      <c r="AE31" s="355"/>
      <c r="AF31" s="217"/>
      <c r="AG31" s="217"/>
      <c r="AH31" s="217"/>
      <c r="AI31" s="217"/>
      <c r="AJ31" s="217"/>
      <c r="AK31" s="217"/>
      <c r="AL31" s="217"/>
      <c r="AM31" s="217"/>
      <c r="AN31" s="217"/>
      <c r="AO31" s="217"/>
      <c r="AP31" s="217"/>
      <c r="AQ31" s="217"/>
      <c r="AR31" s="217"/>
      <c r="AS31" s="217"/>
      <c r="AT31" s="355"/>
      <c r="AU31" s="217"/>
      <c r="AV31" s="217"/>
      <c r="AW31" s="217"/>
      <c r="AX31" s="217"/>
      <c r="AY31" s="217"/>
      <c r="AZ31" s="217"/>
      <c r="BA31" s="217"/>
      <c r="BB31" s="217"/>
      <c r="BC31" s="217"/>
      <c r="BD31" s="217"/>
      <c r="BE31" s="217"/>
      <c r="BF31" s="217"/>
      <c r="BG31" s="217"/>
      <c r="BH31" s="217"/>
    </row>
    <row r="32" spans="1:60">
      <c r="A32" s="254">
        <v>22</v>
      </c>
      <c r="B32" s="242"/>
      <c r="C32" s="243"/>
      <c r="D32" s="243"/>
      <c r="E32" s="357"/>
      <c r="F32" s="217"/>
      <c r="G32" s="217"/>
      <c r="H32" s="217"/>
      <c r="I32" s="217"/>
      <c r="J32" s="217"/>
      <c r="K32" s="217"/>
      <c r="L32" s="217"/>
      <c r="M32" s="217"/>
      <c r="N32" s="217"/>
      <c r="O32" s="217"/>
      <c r="P32" s="355"/>
      <c r="Q32" s="217"/>
      <c r="R32" s="217"/>
      <c r="S32" s="217"/>
      <c r="T32" s="217"/>
      <c r="U32" s="217"/>
      <c r="V32" s="217"/>
      <c r="W32" s="217"/>
      <c r="X32" s="217"/>
      <c r="Y32" s="217"/>
      <c r="Z32" s="217"/>
      <c r="AA32" s="217"/>
      <c r="AB32" s="217"/>
      <c r="AC32" s="217"/>
      <c r="AD32" s="217"/>
      <c r="AE32" s="355"/>
      <c r="AF32" s="217"/>
      <c r="AG32" s="217"/>
      <c r="AH32" s="217"/>
      <c r="AI32" s="217"/>
      <c r="AJ32" s="217"/>
      <c r="AK32" s="217"/>
      <c r="AL32" s="217"/>
      <c r="AM32" s="217"/>
      <c r="AN32" s="217"/>
      <c r="AO32" s="217"/>
      <c r="AP32" s="217"/>
      <c r="AQ32" s="217"/>
      <c r="AR32" s="217"/>
      <c r="AS32" s="217"/>
      <c r="AT32" s="355"/>
      <c r="AU32" s="217"/>
      <c r="AV32" s="217"/>
      <c r="AW32" s="217"/>
      <c r="AX32" s="217"/>
      <c r="AY32" s="217"/>
      <c r="AZ32" s="217"/>
      <c r="BA32" s="217"/>
      <c r="BB32" s="217"/>
      <c r="BC32" s="217"/>
      <c r="BD32" s="217"/>
      <c r="BE32" s="217"/>
      <c r="BF32" s="217"/>
      <c r="BG32" s="217"/>
      <c r="BH32" s="217"/>
    </row>
    <row r="33" spans="1:60">
      <c r="A33" s="254">
        <v>23</v>
      </c>
      <c r="B33" s="242"/>
      <c r="C33" s="243"/>
      <c r="D33" s="243"/>
      <c r="E33" s="357"/>
      <c r="F33" s="217"/>
      <c r="G33" s="217"/>
      <c r="H33" s="217"/>
      <c r="I33" s="217"/>
      <c r="J33" s="217"/>
      <c r="K33" s="217"/>
      <c r="L33" s="217"/>
      <c r="M33" s="217"/>
      <c r="N33" s="217"/>
      <c r="O33" s="217"/>
      <c r="P33" s="355"/>
      <c r="Q33" s="217"/>
      <c r="R33" s="217"/>
      <c r="S33" s="217"/>
      <c r="T33" s="217"/>
      <c r="U33" s="217"/>
      <c r="V33" s="217"/>
      <c r="W33" s="217"/>
      <c r="X33" s="217"/>
      <c r="Y33" s="217"/>
      <c r="Z33" s="217"/>
      <c r="AA33" s="217"/>
      <c r="AB33" s="217"/>
      <c r="AC33" s="217"/>
      <c r="AD33" s="217"/>
      <c r="AE33" s="355"/>
      <c r="AF33" s="217"/>
      <c r="AG33" s="217"/>
      <c r="AH33" s="217"/>
      <c r="AI33" s="217"/>
      <c r="AJ33" s="217"/>
      <c r="AK33" s="217"/>
      <c r="AL33" s="217"/>
      <c r="AM33" s="217"/>
      <c r="AN33" s="217"/>
      <c r="AO33" s="217"/>
      <c r="AP33" s="217"/>
      <c r="AQ33" s="217"/>
      <c r="AR33" s="217"/>
      <c r="AS33" s="217"/>
      <c r="AT33" s="355"/>
      <c r="AU33" s="217"/>
      <c r="AV33" s="217"/>
      <c r="AW33" s="217"/>
      <c r="AX33" s="217"/>
      <c r="AY33" s="217"/>
      <c r="AZ33" s="217"/>
      <c r="BA33" s="217"/>
      <c r="BB33" s="217"/>
      <c r="BC33" s="217"/>
      <c r="BD33" s="217"/>
      <c r="BE33" s="217"/>
      <c r="BF33" s="217"/>
      <c r="BG33" s="217"/>
      <c r="BH33" s="217"/>
    </row>
    <row r="34" spans="1:60">
      <c r="A34" s="254">
        <v>24</v>
      </c>
      <c r="B34" s="242"/>
      <c r="C34" s="243"/>
      <c r="D34" s="243"/>
      <c r="E34" s="357"/>
      <c r="F34" s="217"/>
      <c r="G34" s="217"/>
      <c r="H34" s="217"/>
      <c r="I34" s="217"/>
      <c r="J34" s="217"/>
      <c r="K34" s="217"/>
      <c r="L34" s="217"/>
      <c r="M34" s="217"/>
      <c r="N34" s="217"/>
      <c r="O34" s="217"/>
      <c r="P34" s="355"/>
      <c r="Q34" s="217"/>
      <c r="R34" s="217"/>
      <c r="S34" s="217"/>
      <c r="T34" s="217"/>
      <c r="U34" s="217"/>
      <c r="V34" s="217"/>
      <c r="W34" s="217"/>
      <c r="X34" s="217"/>
      <c r="Y34" s="217"/>
      <c r="Z34" s="217"/>
      <c r="AA34" s="217"/>
      <c r="AB34" s="217"/>
      <c r="AC34" s="217"/>
      <c r="AD34" s="217"/>
      <c r="AE34" s="355"/>
      <c r="AF34" s="217"/>
      <c r="AG34" s="217"/>
      <c r="AH34" s="217"/>
      <c r="AI34" s="217"/>
      <c r="AJ34" s="217"/>
      <c r="AK34" s="217"/>
      <c r="AL34" s="217"/>
      <c r="AM34" s="217"/>
      <c r="AN34" s="217"/>
      <c r="AO34" s="217"/>
      <c r="AP34" s="217"/>
      <c r="AQ34" s="217"/>
      <c r="AR34" s="217"/>
      <c r="AS34" s="217"/>
      <c r="AT34" s="355"/>
      <c r="AU34" s="217"/>
      <c r="AV34" s="217"/>
      <c r="AW34" s="217"/>
      <c r="AX34" s="217"/>
      <c r="AY34" s="217"/>
      <c r="AZ34" s="217"/>
      <c r="BA34" s="217"/>
      <c r="BB34" s="217"/>
      <c r="BC34" s="217"/>
      <c r="BD34" s="217"/>
      <c r="BE34" s="217"/>
      <c r="BF34" s="217"/>
      <c r="BG34" s="217"/>
      <c r="BH34" s="217"/>
    </row>
    <row r="35" spans="1:60">
      <c r="A35" s="254">
        <v>25</v>
      </c>
      <c r="B35" s="242"/>
      <c r="C35" s="243"/>
      <c r="D35" s="243"/>
      <c r="E35" s="357"/>
      <c r="F35" s="217"/>
      <c r="G35" s="217"/>
      <c r="H35" s="217"/>
      <c r="I35" s="217"/>
      <c r="J35" s="217"/>
      <c r="K35" s="217"/>
      <c r="L35" s="217"/>
      <c r="M35" s="217"/>
      <c r="N35" s="217"/>
      <c r="O35" s="217"/>
      <c r="P35" s="355"/>
      <c r="Q35" s="217"/>
      <c r="R35" s="217"/>
      <c r="S35" s="217"/>
      <c r="T35" s="217"/>
      <c r="U35" s="217"/>
      <c r="V35" s="217"/>
      <c r="W35" s="217"/>
      <c r="X35" s="217"/>
      <c r="Y35" s="217"/>
      <c r="Z35" s="217"/>
      <c r="AA35" s="217"/>
      <c r="AB35" s="217"/>
      <c r="AC35" s="217"/>
      <c r="AD35" s="217"/>
      <c r="AE35" s="355"/>
      <c r="AF35" s="217"/>
      <c r="AG35" s="217"/>
      <c r="AH35" s="217"/>
      <c r="AI35" s="217"/>
      <c r="AJ35" s="217"/>
      <c r="AK35" s="217"/>
      <c r="AL35" s="217"/>
      <c r="AM35" s="217"/>
      <c r="AN35" s="217"/>
      <c r="AO35" s="217"/>
      <c r="AP35" s="217"/>
      <c r="AQ35" s="217"/>
      <c r="AR35" s="217"/>
      <c r="AS35" s="217"/>
      <c r="AT35" s="355"/>
      <c r="AU35" s="217"/>
      <c r="AV35" s="217"/>
      <c r="AW35" s="217"/>
      <c r="AX35" s="217"/>
      <c r="AY35" s="217"/>
      <c r="AZ35" s="217"/>
      <c r="BA35" s="217"/>
      <c r="BB35" s="217"/>
      <c r="BC35" s="217"/>
      <c r="BD35" s="217"/>
      <c r="BE35" s="217"/>
      <c r="BF35" s="217"/>
      <c r="BG35" s="217"/>
      <c r="BH35" s="217"/>
    </row>
    <row r="36" spans="1:60">
      <c r="A36" s="254">
        <v>26</v>
      </c>
      <c r="B36" s="242"/>
      <c r="C36" s="243"/>
      <c r="D36" s="243"/>
      <c r="E36" s="357"/>
      <c r="F36" s="217"/>
      <c r="G36" s="217"/>
      <c r="H36" s="217"/>
      <c r="I36" s="217"/>
      <c r="J36" s="217"/>
      <c r="K36" s="217"/>
      <c r="L36" s="217"/>
      <c r="M36" s="217"/>
      <c r="N36" s="217"/>
      <c r="O36" s="217"/>
      <c r="P36" s="355"/>
      <c r="Q36" s="217"/>
      <c r="R36" s="217"/>
      <c r="S36" s="217"/>
      <c r="T36" s="217"/>
      <c r="U36" s="217"/>
      <c r="V36" s="217"/>
      <c r="W36" s="217"/>
      <c r="X36" s="217"/>
      <c r="Y36" s="217"/>
      <c r="Z36" s="217"/>
      <c r="AA36" s="217"/>
      <c r="AB36" s="217"/>
      <c r="AC36" s="217"/>
      <c r="AD36" s="217"/>
      <c r="AE36" s="355"/>
      <c r="AF36" s="217"/>
      <c r="AG36" s="217"/>
      <c r="AH36" s="217"/>
      <c r="AI36" s="217"/>
      <c r="AJ36" s="217"/>
      <c r="AK36" s="217"/>
      <c r="AL36" s="217"/>
      <c r="AM36" s="217"/>
      <c r="AN36" s="217"/>
      <c r="AO36" s="217"/>
      <c r="AP36" s="217"/>
      <c r="AQ36" s="217"/>
      <c r="AR36" s="217"/>
      <c r="AS36" s="217"/>
      <c r="AT36" s="355"/>
      <c r="AU36" s="217"/>
      <c r="AV36" s="217"/>
      <c r="AW36" s="217"/>
      <c r="AX36" s="217"/>
      <c r="AY36" s="217"/>
      <c r="AZ36" s="217"/>
      <c r="BA36" s="217"/>
      <c r="BB36" s="217"/>
      <c r="BC36" s="217"/>
      <c r="BD36" s="217"/>
      <c r="BE36" s="217"/>
      <c r="BF36" s="217"/>
      <c r="BG36" s="217"/>
      <c r="BH36" s="217"/>
    </row>
    <row r="37" spans="1:60">
      <c r="A37" s="254">
        <v>27</v>
      </c>
      <c r="B37" s="242"/>
      <c r="C37" s="243"/>
      <c r="D37" s="243"/>
      <c r="E37" s="357"/>
      <c r="F37" s="217"/>
      <c r="G37" s="217"/>
      <c r="H37" s="217"/>
      <c r="I37" s="217"/>
      <c r="J37" s="217"/>
      <c r="K37" s="217"/>
      <c r="L37" s="217"/>
      <c r="M37" s="217"/>
      <c r="N37" s="217"/>
      <c r="O37" s="217"/>
      <c r="P37" s="355"/>
      <c r="Q37" s="217"/>
      <c r="R37" s="217"/>
      <c r="S37" s="217"/>
      <c r="T37" s="217"/>
      <c r="U37" s="217"/>
      <c r="V37" s="217"/>
      <c r="W37" s="217"/>
      <c r="X37" s="217"/>
      <c r="Y37" s="217"/>
      <c r="Z37" s="217"/>
      <c r="AA37" s="217"/>
      <c r="AB37" s="217"/>
      <c r="AC37" s="217"/>
      <c r="AD37" s="217"/>
      <c r="AE37" s="355"/>
      <c r="AF37" s="217"/>
      <c r="AG37" s="217"/>
      <c r="AH37" s="217"/>
      <c r="AI37" s="217"/>
      <c r="AJ37" s="217"/>
      <c r="AK37" s="217"/>
      <c r="AL37" s="217"/>
      <c r="AM37" s="217"/>
      <c r="AN37" s="217"/>
      <c r="AO37" s="217"/>
      <c r="AP37" s="217"/>
      <c r="AQ37" s="217"/>
      <c r="AR37" s="217"/>
      <c r="AS37" s="217"/>
      <c r="AT37" s="355"/>
      <c r="AU37" s="217"/>
      <c r="AV37" s="217"/>
      <c r="AW37" s="217"/>
      <c r="AX37" s="217"/>
      <c r="AY37" s="217"/>
      <c r="AZ37" s="217"/>
      <c r="BA37" s="217"/>
      <c r="BB37" s="217"/>
      <c r="BC37" s="217"/>
      <c r="BD37" s="217"/>
      <c r="BE37" s="217"/>
      <c r="BF37" s="217"/>
      <c r="BG37" s="217"/>
      <c r="BH37" s="217"/>
    </row>
    <row r="38" spans="1:60">
      <c r="A38" s="254">
        <v>28</v>
      </c>
      <c r="B38" s="242"/>
      <c r="C38" s="243"/>
      <c r="D38" s="243"/>
      <c r="E38" s="357"/>
      <c r="F38" s="217"/>
      <c r="G38" s="217"/>
      <c r="H38" s="217"/>
      <c r="I38" s="217"/>
      <c r="J38" s="217"/>
      <c r="K38" s="217"/>
      <c r="L38" s="217"/>
      <c r="M38" s="217"/>
      <c r="N38" s="217"/>
      <c r="O38" s="217"/>
      <c r="P38" s="355"/>
      <c r="Q38" s="217"/>
      <c r="R38" s="217"/>
      <c r="S38" s="217"/>
      <c r="T38" s="217"/>
      <c r="U38" s="217"/>
      <c r="V38" s="217"/>
      <c r="W38" s="217"/>
      <c r="X38" s="217"/>
      <c r="Y38" s="217"/>
      <c r="Z38" s="217"/>
      <c r="AA38" s="217"/>
      <c r="AB38" s="217"/>
      <c r="AC38" s="217"/>
      <c r="AD38" s="217"/>
      <c r="AE38" s="355"/>
      <c r="AF38" s="217"/>
      <c r="AG38" s="217"/>
      <c r="AH38" s="217"/>
      <c r="AI38" s="217"/>
      <c r="AJ38" s="217"/>
      <c r="AK38" s="217"/>
      <c r="AL38" s="217"/>
      <c r="AM38" s="217"/>
      <c r="AN38" s="217"/>
      <c r="AO38" s="217"/>
      <c r="AP38" s="217"/>
      <c r="AQ38" s="217"/>
      <c r="AR38" s="217"/>
      <c r="AS38" s="217"/>
      <c r="AT38" s="355"/>
      <c r="AU38" s="217"/>
      <c r="AV38" s="217"/>
      <c r="AW38" s="217"/>
      <c r="AX38" s="217"/>
      <c r="AY38" s="217"/>
      <c r="AZ38" s="217"/>
      <c r="BA38" s="217"/>
      <c r="BB38" s="217"/>
      <c r="BC38" s="217"/>
      <c r="BD38" s="217"/>
      <c r="BE38" s="217"/>
      <c r="BF38" s="217"/>
      <c r="BG38" s="217"/>
      <c r="BH38" s="217"/>
    </row>
    <row r="39" spans="1:60">
      <c r="A39" s="254">
        <v>29</v>
      </c>
      <c r="B39" s="242"/>
      <c r="C39" s="243"/>
      <c r="D39" s="243"/>
      <c r="E39" s="357"/>
      <c r="F39" s="217"/>
      <c r="G39" s="217"/>
      <c r="H39" s="217"/>
      <c r="I39" s="217"/>
      <c r="J39" s="217"/>
      <c r="K39" s="217"/>
      <c r="L39" s="217"/>
      <c r="M39" s="217"/>
      <c r="N39" s="217"/>
      <c r="O39" s="217"/>
      <c r="P39" s="355"/>
      <c r="Q39" s="217"/>
      <c r="R39" s="217"/>
      <c r="S39" s="217"/>
      <c r="T39" s="217"/>
      <c r="U39" s="217"/>
      <c r="V39" s="217"/>
      <c r="W39" s="217"/>
      <c r="X39" s="217"/>
      <c r="Y39" s="217"/>
      <c r="Z39" s="217"/>
      <c r="AA39" s="217"/>
      <c r="AB39" s="217"/>
      <c r="AC39" s="217"/>
      <c r="AD39" s="217"/>
      <c r="AE39" s="355"/>
      <c r="AF39" s="217"/>
      <c r="AG39" s="217"/>
      <c r="AH39" s="217"/>
      <c r="AI39" s="217"/>
      <c r="AJ39" s="217"/>
      <c r="AK39" s="217"/>
      <c r="AL39" s="217"/>
      <c r="AM39" s="217"/>
      <c r="AN39" s="217"/>
      <c r="AO39" s="217"/>
      <c r="AP39" s="217"/>
      <c r="AQ39" s="217"/>
      <c r="AR39" s="217"/>
      <c r="AS39" s="217"/>
      <c r="AT39" s="355"/>
      <c r="AU39" s="217"/>
      <c r="AV39" s="217"/>
      <c r="AW39" s="217"/>
      <c r="AX39" s="217"/>
      <c r="AY39" s="217"/>
      <c r="AZ39" s="217"/>
      <c r="BA39" s="217"/>
      <c r="BB39" s="217"/>
      <c r="BC39" s="217"/>
      <c r="BD39" s="217"/>
      <c r="BE39" s="217"/>
      <c r="BF39" s="217"/>
      <c r="BG39" s="217"/>
      <c r="BH39" s="217"/>
    </row>
    <row r="40" spans="1:60">
      <c r="A40" s="254">
        <v>30</v>
      </c>
      <c r="B40" s="242"/>
      <c r="C40" s="243"/>
      <c r="D40" s="243"/>
      <c r="E40" s="357"/>
      <c r="F40" s="217"/>
      <c r="G40" s="217"/>
      <c r="H40" s="217"/>
      <c r="I40" s="217"/>
      <c r="J40" s="217"/>
      <c r="K40" s="217"/>
      <c r="L40" s="217"/>
      <c r="M40" s="217"/>
      <c r="N40" s="217"/>
      <c r="O40" s="217"/>
      <c r="P40" s="355"/>
      <c r="Q40" s="217"/>
      <c r="R40" s="217"/>
      <c r="S40" s="217"/>
      <c r="T40" s="217"/>
      <c r="U40" s="217"/>
      <c r="V40" s="217"/>
      <c r="W40" s="217"/>
      <c r="X40" s="217"/>
      <c r="Y40" s="217"/>
      <c r="Z40" s="217"/>
      <c r="AA40" s="217"/>
      <c r="AB40" s="217"/>
      <c r="AC40" s="217"/>
      <c r="AD40" s="217"/>
      <c r="AE40" s="355"/>
      <c r="AF40" s="217"/>
      <c r="AG40" s="217"/>
      <c r="AH40" s="217"/>
      <c r="AI40" s="217"/>
      <c r="AJ40" s="217"/>
      <c r="AK40" s="217"/>
      <c r="AL40" s="217"/>
      <c r="AM40" s="217"/>
      <c r="AN40" s="217"/>
      <c r="AO40" s="217"/>
      <c r="AP40" s="217"/>
      <c r="AQ40" s="217"/>
      <c r="AR40" s="217"/>
      <c r="AS40" s="217"/>
      <c r="AT40" s="355"/>
      <c r="AU40" s="217"/>
      <c r="AV40" s="217"/>
      <c r="AW40" s="217"/>
      <c r="AX40" s="217"/>
      <c r="AY40" s="217"/>
      <c r="AZ40" s="217"/>
      <c r="BA40" s="217"/>
      <c r="BB40" s="217"/>
      <c r="BC40" s="217"/>
      <c r="BD40" s="217"/>
      <c r="BE40" s="217"/>
      <c r="BF40" s="217"/>
      <c r="BG40" s="217"/>
      <c r="BH40" s="217"/>
    </row>
    <row r="41" spans="1:60">
      <c r="A41" s="254">
        <v>31</v>
      </c>
      <c r="B41" s="242"/>
      <c r="C41" s="243"/>
      <c r="D41" s="243"/>
      <c r="E41" s="357"/>
      <c r="F41" s="217"/>
      <c r="G41" s="217"/>
      <c r="H41" s="217"/>
      <c r="I41" s="217"/>
      <c r="J41" s="217"/>
      <c r="K41" s="217"/>
      <c r="L41" s="217"/>
      <c r="M41" s="217"/>
      <c r="N41" s="217"/>
      <c r="O41" s="217"/>
      <c r="P41" s="355"/>
      <c r="Q41" s="217"/>
      <c r="R41" s="217"/>
      <c r="S41" s="217"/>
      <c r="T41" s="217"/>
      <c r="U41" s="217"/>
      <c r="V41" s="217"/>
      <c r="W41" s="217"/>
      <c r="X41" s="217"/>
      <c r="Y41" s="217"/>
      <c r="Z41" s="217"/>
      <c r="AA41" s="217"/>
      <c r="AB41" s="217"/>
      <c r="AC41" s="217"/>
      <c r="AD41" s="217"/>
      <c r="AE41" s="355"/>
      <c r="AF41" s="217"/>
      <c r="AG41" s="217"/>
      <c r="AH41" s="217"/>
      <c r="AI41" s="217"/>
      <c r="AJ41" s="217"/>
      <c r="AK41" s="217"/>
      <c r="AL41" s="217"/>
      <c r="AM41" s="217"/>
      <c r="AN41" s="217"/>
      <c r="AO41" s="217"/>
      <c r="AP41" s="217"/>
      <c r="AQ41" s="217"/>
      <c r="AR41" s="217"/>
      <c r="AS41" s="217"/>
      <c r="AT41" s="355"/>
      <c r="AU41" s="217"/>
      <c r="AV41" s="217"/>
      <c r="AW41" s="217"/>
      <c r="AX41" s="217"/>
      <c r="AY41" s="217"/>
      <c r="AZ41" s="217"/>
      <c r="BA41" s="217"/>
      <c r="BB41" s="217"/>
      <c r="BC41" s="217"/>
      <c r="BD41" s="217"/>
      <c r="BE41" s="217"/>
      <c r="BF41" s="217"/>
      <c r="BG41" s="217"/>
      <c r="BH41" s="217"/>
    </row>
    <row r="42" spans="1:60">
      <c r="A42" s="254">
        <v>32</v>
      </c>
      <c r="B42" s="242"/>
      <c r="C42" s="243"/>
      <c r="D42" s="243"/>
      <c r="E42" s="357"/>
      <c r="F42" s="217"/>
      <c r="G42" s="217"/>
      <c r="H42" s="217"/>
      <c r="I42" s="217"/>
      <c r="J42" s="217"/>
      <c r="K42" s="217"/>
      <c r="L42" s="217"/>
      <c r="M42" s="217"/>
      <c r="N42" s="217"/>
      <c r="O42" s="217"/>
      <c r="P42" s="355"/>
      <c r="Q42" s="217"/>
      <c r="R42" s="217"/>
      <c r="S42" s="217"/>
      <c r="T42" s="217"/>
      <c r="U42" s="217"/>
      <c r="V42" s="217"/>
      <c r="W42" s="217"/>
      <c r="X42" s="217"/>
      <c r="Y42" s="217"/>
      <c r="Z42" s="217"/>
      <c r="AA42" s="217"/>
      <c r="AB42" s="217"/>
      <c r="AC42" s="217"/>
      <c r="AD42" s="217"/>
      <c r="AE42" s="355"/>
      <c r="AF42" s="217"/>
      <c r="AG42" s="217"/>
      <c r="AH42" s="217"/>
      <c r="AI42" s="217"/>
      <c r="AJ42" s="217"/>
      <c r="AK42" s="217"/>
      <c r="AL42" s="217"/>
      <c r="AM42" s="217"/>
      <c r="AN42" s="217"/>
      <c r="AO42" s="217"/>
      <c r="AP42" s="217"/>
      <c r="AQ42" s="217"/>
      <c r="AR42" s="217"/>
      <c r="AS42" s="217"/>
      <c r="AT42" s="355"/>
      <c r="AU42" s="217"/>
      <c r="AV42" s="217"/>
      <c r="AW42" s="217"/>
      <c r="AX42" s="217"/>
      <c r="AY42" s="217"/>
      <c r="AZ42" s="217"/>
      <c r="BA42" s="217"/>
      <c r="BB42" s="217"/>
      <c r="BC42" s="217"/>
      <c r="BD42" s="217"/>
      <c r="BE42" s="217"/>
      <c r="BF42" s="217"/>
      <c r="BG42" s="217"/>
      <c r="BH42" s="217"/>
    </row>
    <row r="43" spans="1:60">
      <c r="A43" s="254">
        <v>33</v>
      </c>
      <c r="B43" s="242"/>
      <c r="C43" s="243"/>
      <c r="D43" s="243"/>
      <c r="E43" s="357"/>
      <c r="F43" s="217"/>
      <c r="G43" s="217"/>
      <c r="H43" s="217"/>
      <c r="I43" s="217"/>
      <c r="J43" s="217"/>
      <c r="K43" s="217"/>
      <c r="L43" s="217"/>
      <c r="M43" s="217"/>
      <c r="N43" s="217"/>
      <c r="O43" s="217"/>
      <c r="P43" s="355"/>
      <c r="Q43" s="217"/>
      <c r="R43" s="217"/>
      <c r="S43" s="217"/>
      <c r="T43" s="217"/>
      <c r="U43" s="217"/>
      <c r="V43" s="217"/>
      <c r="W43" s="217"/>
      <c r="X43" s="217"/>
      <c r="Y43" s="217"/>
      <c r="Z43" s="217"/>
      <c r="AA43" s="217"/>
      <c r="AB43" s="217"/>
      <c r="AC43" s="217"/>
      <c r="AD43" s="217"/>
      <c r="AE43" s="355"/>
      <c r="AF43" s="217"/>
      <c r="AG43" s="217"/>
      <c r="AH43" s="217"/>
      <c r="AI43" s="217"/>
      <c r="AJ43" s="217"/>
      <c r="AK43" s="217"/>
      <c r="AL43" s="217"/>
      <c r="AM43" s="217"/>
      <c r="AN43" s="217"/>
      <c r="AO43" s="217"/>
      <c r="AP43" s="217"/>
      <c r="AQ43" s="217"/>
      <c r="AR43" s="217"/>
      <c r="AS43" s="217"/>
      <c r="AT43" s="355"/>
      <c r="AU43" s="217"/>
      <c r="AV43" s="217"/>
      <c r="AW43" s="217"/>
      <c r="AX43" s="217"/>
      <c r="AY43" s="217"/>
      <c r="AZ43" s="217"/>
      <c r="BA43" s="217"/>
      <c r="BB43" s="217"/>
      <c r="BC43" s="217"/>
      <c r="BD43" s="217"/>
      <c r="BE43" s="217"/>
      <c r="BF43" s="217"/>
      <c r="BG43" s="217"/>
      <c r="BH43" s="217"/>
    </row>
    <row r="44" spans="1:60">
      <c r="A44" s="254">
        <v>34</v>
      </c>
      <c r="B44" s="242"/>
      <c r="C44" s="243"/>
      <c r="D44" s="243"/>
      <c r="E44" s="357"/>
      <c r="F44" s="217"/>
      <c r="G44" s="217"/>
      <c r="H44" s="217"/>
      <c r="I44" s="217"/>
      <c r="J44" s="217"/>
      <c r="K44" s="217"/>
      <c r="L44" s="217"/>
      <c r="M44" s="217"/>
      <c r="N44" s="217"/>
      <c r="O44" s="217"/>
      <c r="P44" s="355"/>
      <c r="Q44" s="217"/>
      <c r="R44" s="217"/>
      <c r="S44" s="217"/>
      <c r="T44" s="217"/>
      <c r="U44" s="217"/>
      <c r="V44" s="217"/>
      <c r="W44" s="217"/>
      <c r="X44" s="217"/>
      <c r="Y44" s="217"/>
      <c r="Z44" s="217"/>
      <c r="AA44" s="217"/>
      <c r="AB44" s="217"/>
      <c r="AC44" s="217"/>
      <c r="AD44" s="217"/>
      <c r="AE44" s="355"/>
      <c r="AF44" s="217"/>
      <c r="AG44" s="217"/>
      <c r="AH44" s="217"/>
      <c r="AI44" s="217"/>
      <c r="AJ44" s="217"/>
      <c r="AK44" s="217"/>
      <c r="AL44" s="217"/>
      <c r="AM44" s="217"/>
      <c r="AN44" s="217"/>
      <c r="AO44" s="217"/>
      <c r="AP44" s="217"/>
      <c r="AQ44" s="217"/>
      <c r="AR44" s="217"/>
      <c r="AS44" s="217"/>
      <c r="AT44" s="355"/>
      <c r="AU44" s="217"/>
      <c r="AV44" s="217"/>
      <c r="AW44" s="217"/>
      <c r="AX44" s="217"/>
      <c r="AY44" s="217"/>
      <c r="AZ44" s="217"/>
      <c r="BA44" s="217"/>
      <c r="BB44" s="217"/>
      <c r="BC44" s="217"/>
      <c r="BD44" s="217"/>
      <c r="BE44" s="217"/>
      <c r="BF44" s="217"/>
      <c r="BG44" s="217"/>
      <c r="BH44" s="217"/>
    </row>
    <row r="45" spans="1:60">
      <c r="A45" s="254">
        <v>35</v>
      </c>
      <c r="B45" s="242"/>
      <c r="C45" s="243"/>
      <c r="D45" s="243"/>
      <c r="E45" s="357"/>
      <c r="F45" s="217"/>
      <c r="G45" s="217"/>
      <c r="H45" s="217"/>
      <c r="I45" s="217"/>
      <c r="J45" s="217"/>
      <c r="K45" s="217"/>
      <c r="L45" s="217"/>
      <c r="M45" s="217"/>
      <c r="N45" s="217"/>
      <c r="O45" s="217"/>
      <c r="P45" s="355"/>
      <c r="Q45" s="217"/>
      <c r="R45" s="217"/>
      <c r="S45" s="217"/>
      <c r="T45" s="217"/>
      <c r="U45" s="217"/>
      <c r="V45" s="217"/>
      <c r="W45" s="217"/>
      <c r="X45" s="217"/>
      <c r="Y45" s="217"/>
      <c r="Z45" s="217"/>
      <c r="AA45" s="217"/>
      <c r="AB45" s="217"/>
      <c r="AC45" s="217"/>
      <c r="AD45" s="217"/>
      <c r="AE45" s="355"/>
      <c r="AF45" s="217"/>
      <c r="AG45" s="217"/>
      <c r="AH45" s="217"/>
      <c r="AI45" s="217"/>
      <c r="AJ45" s="217"/>
      <c r="AK45" s="217"/>
      <c r="AL45" s="217"/>
      <c r="AM45" s="217"/>
      <c r="AN45" s="217"/>
      <c r="AO45" s="217"/>
      <c r="AP45" s="217"/>
      <c r="AQ45" s="217"/>
      <c r="AR45" s="217"/>
      <c r="AS45" s="217"/>
      <c r="AT45" s="355"/>
      <c r="AU45" s="217"/>
      <c r="AV45" s="217"/>
      <c r="AW45" s="217"/>
      <c r="AX45" s="217"/>
      <c r="AY45" s="217"/>
      <c r="AZ45" s="217"/>
      <c r="BA45" s="217"/>
      <c r="BB45" s="217"/>
      <c r="BC45" s="217"/>
      <c r="BD45" s="217"/>
      <c r="BE45" s="217"/>
      <c r="BF45" s="217"/>
      <c r="BG45" s="217"/>
      <c r="BH45" s="217"/>
    </row>
    <row r="46" spans="1:60">
      <c r="A46" s="254">
        <v>36</v>
      </c>
      <c r="B46" s="242"/>
      <c r="C46" s="243"/>
      <c r="D46" s="243"/>
      <c r="E46" s="357"/>
      <c r="F46" s="217"/>
      <c r="G46" s="217"/>
      <c r="H46" s="217"/>
      <c r="I46" s="217"/>
      <c r="J46" s="217"/>
      <c r="K46" s="217"/>
      <c r="L46" s="217"/>
      <c r="M46" s="217"/>
      <c r="N46" s="217"/>
      <c r="O46" s="217"/>
      <c r="P46" s="355"/>
      <c r="Q46" s="217"/>
      <c r="R46" s="217"/>
      <c r="S46" s="217"/>
      <c r="T46" s="217"/>
      <c r="U46" s="217"/>
      <c r="V46" s="217"/>
      <c r="W46" s="217"/>
      <c r="X46" s="217"/>
      <c r="Y46" s="217"/>
      <c r="Z46" s="217"/>
      <c r="AA46" s="217"/>
      <c r="AB46" s="217"/>
      <c r="AC46" s="217"/>
      <c r="AD46" s="217"/>
      <c r="AE46" s="355"/>
      <c r="AF46" s="217"/>
      <c r="AG46" s="217"/>
      <c r="AH46" s="217"/>
      <c r="AI46" s="217"/>
      <c r="AJ46" s="217"/>
      <c r="AK46" s="217"/>
      <c r="AL46" s="217"/>
      <c r="AM46" s="217"/>
      <c r="AN46" s="217"/>
      <c r="AO46" s="217"/>
      <c r="AP46" s="217"/>
      <c r="AQ46" s="217"/>
      <c r="AR46" s="217"/>
      <c r="AS46" s="217"/>
      <c r="AT46" s="355"/>
      <c r="AU46" s="217"/>
      <c r="AV46" s="217"/>
      <c r="AW46" s="217"/>
      <c r="AX46" s="217"/>
      <c r="AY46" s="217"/>
      <c r="AZ46" s="217"/>
      <c r="BA46" s="217"/>
      <c r="BB46" s="217"/>
      <c r="BC46" s="217"/>
      <c r="BD46" s="217"/>
      <c r="BE46" s="217"/>
      <c r="BF46" s="217"/>
      <c r="BG46" s="217"/>
      <c r="BH46" s="217"/>
    </row>
    <row r="47" spans="1:60">
      <c r="A47" s="254">
        <v>37</v>
      </c>
      <c r="B47" s="242"/>
      <c r="C47" s="243"/>
      <c r="D47" s="243"/>
      <c r="E47" s="357"/>
      <c r="F47" s="217"/>
      <c r="G47" s="217"/>
      <c r="H47" s="217"/>
      <c r="I47" s="217"/>
      <c r="J47" s="217"/>
      <c r="K47" s="217"/>
      <c r="L47" s="217"/>
      <c r="M47" s="217"/>
      <c r="N47" s="217"/>
      <c r="O47" s="217"/>
      <c r="P47" s="355"/>
      <c r="Q47" s="217"/>
      <c r="R47" s="217"/>
      <c r="S47" s="217"/>
      <c r="T47" s="217"/>
      <c r="U47" s="217"/>
      <c r="V47" s="217"/>
      <c r="W47" s="217"/>
      <c r="X47" s="217"/>
      <c r="Y47" s="217"/>
      <c r="Z47" s="217"/>
      <c r="AA47" s="217"/>
      <c r="AB47" s="217"/>
      <c r="AC47" s="217"/>
      <c r="AD47" s="217"/>
      <c r="AE47" s="355"/>
      <c r="AF47" s="217"/>
      <c r="AG47" s="217"/>
      <c r="AH47" s="217"/>
      <c r="AI47" s="217"/>
      <c r="AJ47" s="217"/>
      <c r="AK47" s="217"/>
      <c r="AL47" s="217"/>
      <c r="AM47" s="217"/>
      <c r="AN47" s="217"/>
      <c r="AO47" s="217"/>
      <c r="AP47" s="217"/>
      <c r="AQ47" s="217"/>
      <c r="AR47" s="217"/>
      <c r="AS47" s="217"/>
      <c r="AT47" s="355"/>
      <c r="AU47" s="217"/>
      <c r="AV47" s="217"/>
      <c r="AW47" s="217"/>
      <c r="AX47" s="217"/>
      <c r="AY47" s="217"/>
      <c r="AZ47" s="217"/>
      <c r="BA47" s="217"/>
      <c r="BB47" s="217"/>
      <c r="BC47" s="217"/>
      <c r="BD47" s="217"/>
      <c r="BE47" s="217"/>
      <c r="BF47" s="217"/>
      <c r="BG47" s="217"/>
      <c r="BH47" s="217"/>
    </row>
    <row r="48" spans="1:60">
      <c r="A48" s="254">
        <v>38</v>
      </c>
      <c r="B48" s="242"/>
      <c r="C48" s="243"/>
      <c r="D48" s="243"/>
      <c r="E48" s="357"/>
      <c r="F48" s="217"/>
      <c r="G48" s="217"/>
      <c r="H48" s="217"/>
      <c r="I48" s="217"/>
      <c r="J48" s="217"/>
      <c r="K48" s="217"/>
      <c r="L48" s="217"/>
      <c r="M48" s="217"/>
      <c r="N48" s="217"/>
      <c r="O48" s="217"/>
      <c r="P48" s="355"/>
      <c r="Q48" s="217"/>
      <c r="R48" s="217"/>
      <c r="S48" s="217"/>
      <c r="T48" s="217"/>
      <c r="U48" s="217"/>
      <c r="V48" s="217"/>
      <c r="W48" s="217"/>
      <c r="X48" s="217"/>
      <c r="Y48" s="217"/>
      <c r="Z48" s="217"/>
      <c r="AA48" s="217"/>
      <c r="AB48" s="217"/>
      <c r="AC48" s="217"/>
      <c r="AD48" s="217"/>
      <c r="AE48" s="355"/>
      <c r="AF48" s="217"/>
      <c r="AG48" s="217"/>
      <c r="AH48" s="217"/>
      <c r="AI48" s="217"/>
      <c r="AJ48" s="217"/>
      <c r="AK48" s="217"/>
      <c r="AL48" s="217"/>
      <c r="AM48" s="217"/>
      <c r="AN48" s="217"/>
      <c r="AO48" s="217"/>
      <c r="AP48" s="217"/>
      <c r="AQ48" s="217"/>
      <c r="AR48" s="217"/>
      <c r="AS48" s="217"/>
      <c r="AT48" s="355"/>
      <c r="AU48" s="217"/>
      <c r="AV48" s="217"/>
      <c r="AW48" s="217"/>
      <c r="AX48" s="217"/>
      <c r="AY48" s="217"/>
      <c r="AZ48" s="217"/>
      <c r="BA48" s="217"/>
      <c r="BB48" s="217"/>
      <c r="BC48" s="217"/>
      <c r="BD48" s="217"/>
      <c r="BE48" s="217"/>
      <c r="BF48" s="217"/>
      <c r="BG48" s="217"/>
      <c r="BH48" s="217"/>
    </row>
    <row r="49" spans="1:60">
      <c r="A49" s="254">
        <v>39</v>
      </c>
      <c r="B49" s="242"/>
      <c r="C49" s="243"/>
      <c r="D49" s="243"/>
      <c r="E49" s="357"/>
      <c r="F49" s="217"/>
      <c r="G49" s="217"/>
      <c r="H49" s="217"/>
      <c r="I49" s="217"/>
      <c r="J49" s="217"/>
      <c r="K49" s="217"/>
      <c r="L49" s="217"/>
      <c r="M49" s="217"/>
      <c r="N49" s="217"/>
      <c r="O49" s="217"/>
      <c r="P49" s="355"/>
      <c r="Q49" s="217"/>
      <c r="R49" s="217"/>
      <c r="S49" s="217"/>
      <c r="T49" s="217"/>
      <c r="U49" s="217"/>
      <c r="V49" s="217"/>
      <c r="W49" s="217"/>
      <c r="X49" s="217"/>
      <c r="Y49" s="217"/>
      <c r="Z49" s="217"/>
      <c r="AA49" s="217"/>
      <c r="AB49" s="217"/>
      <c r="AC49" s="217"/>
      <c r="AD49" s="217"/>
      <c r="AE49" s="355"/>
      <c r="AF49" s="217"/>
      <c r="AG49" s="217"/>
      <c r="AH49" s="217"/>
      <c r="AI49" s="217"/>
      <c r="AJ49" s="217"/>
      <c r="AK49" s="217"/>
      <c r="AL49" s="217"/>
      <c r="AM49" s="217"/>
      <c r="AN49" s="217"/>
      <c r="AO49" s="217"/>
      <c r="AP49" s="217"/>
      <c r="AQ49" s="217"/>
      <c r="AR49" s="217"/>
      <c r="AS49" s="217"/>
      <c r="AT49" s="355"/>
      <c r="AU49" s="217"/>
      <c r="AV49" s="217"/>
      <c r="AW49" s="217"/>
      <c r="AX49" s="217"/>
      <c r="AY49" s="217"/>
      <c r="AZ49" s="217"/>
      <c r="BA49" s="217"/>
      <c r="BB49" s="217"/>
      <c r="BC49" s="217"/>
      <c r="BD49" s="217"/>
      <c r="BE49" s="217"/>
      <c r="BF49" s="217"/>
      <c r="BG49" s="217"/>
      <c r="BH49" s="217"/>
    </row>
    <row r="50" spans="1:60">
      <c r="A50" s="254">
        <v>40</v>
      </c>
      <c r="B50" s="242"/>
      <c r="C50" s="243"/>
      <c r="D50" s="243"/>
      <c r="E50" s="357"/>
      <c r="F50" s="217"/>
      <c r="G50" s="217"/>
      <c r="H50" s="217"/>
      <c r="I50" s="217"/>
      <c r="J50" s="217"/>
      <c r="K50" s="217"/>
      <c r="L50" s="217"/>
      <c r="M50" s="217"/>
      <c r="N50" s="217"/>
      <c r="O50" s="217"/>
      <c r="P50" s="355"/>
      <c r="Q50" s="217"/>
      <c r="R50" s="217"/>
      <c r="S50" s="217"/>
      <c r="T50" s="217"/>
      <c r="U50" s="217"/>
      <c r="V50" s="217"/>
      <c r="W50" s="217"/>
      <c r="X50" s="217"/>
      <c r="Y50" s="217"/>
      <c r="Z50" s="217"/>
      <c r="AA50" s="217"/>
      <c r="AB50" s="217"/>
      <c r="AC50" s="217"/>
      <c r="AD50" s="217"/>
      <c r="AE50" s="355"/>
      <c r="AF50" s="217"/>
      <c r="AG50" s="217"/>
      <c r="AH50" s="217"/>
      <c r="AI50" s="217"/>
      <c r="AJ50" s="217"/>
      <c r="AK50" s="217"/>
      <c r="AL50" s="217"/>
      <c r="AM50" s="217"/>
      <c r="AN50" s="217"/>
      <c r="AO50" s="217"/>
      <c r="AP50" s="217"/>
      <c r="AQ50" s="217"/>
      <c r="AR50" s="217"/>
      <c r="AS50" s="217"/>
      <c r="AT50" s="355"/>
      <c r="AU50" s="217"/>
      <c r="AV50" s="217"/>
      <c r="AW50" s="217"/>
      <c r="AX50" s="217"/>
      <c r="AY50" s="217"/>
      <c r="AZ50" s="217"/>
      <c r="BA50" s="217"/>
      <c r="BB50" s="217"/>
      <c r="BC50" s="217"/>
      <c r="BD50" s="217"/>
      <c r="BE50" s="217"/>
      <c r="BF50" s="217"/>
      <c r="BG50" s="217"/>
      <c r="BH50" s="217"/>
    </row>
    <row r="51" spans="1:60">
      <c r="A51" s="254">
        <v>41</v>
      </c>
      <c r="B51" s="242"/>
      <c r="C51" s="243"/>
      <c r="D51" s="243"/>
      <c r="E51" s="357"/>
      <c r="F51" s="217"/>
      <c r="G51" s="217"/>
      <c r="H51" s="217"/>
      <c r="I51" s="217"/>
      <c r="J51" s="217"/>
      <c r="K51" s="217"/>
      <c r="L51" s="217"/>
      <c r="M51" s="217"/>
      <c r="N51" s="217"/>
      <c r="O51" s="217"/>
      <c r="P51" s="355"/>
      <c r="Q51" s="217"/>
      <c r="R51" s="217"/>
      <c r="S51" s="217"/>
      <c r="T51" s="217"/>
      <c r="U51" s="217"/>
      <c r="V51" s="217"/>
      <c r="W51" s="217"/>
      <c r="X51" s="217"/>
      <c r="Y51" s="217"/>
      <c r="Z51" s="217"/>
      <c r="AA51" s="217"/>
      <c r="AB51" s="217"/>
      <c r="AC51" s="217"/>
      <c r="AD51" s="217"/>
      <c r="AE51" s="355"/>
      <c r="AF51" s="217"/>
      <c r="AG51" s="217"/>
      <c r="AH51" s="217"/>
      <c r="AI51" s="217"/>
      <c r="AJ51" s="217"/>
      <c r="AK51" s="217"/>
      <c r="AL51" s="217"/>
      <c r="AM51" s="217"/>
      <c r="AN51" s="217"/>
      <c r="AO51" s="217"/>
      <c r="AP51" s="217"/>
      <c r="AQ51" s="217"/>
      <c r="AR51" s="217"/>
      <c r="AS51" s="217"/>
      <c r="AT51" s="355"/>
      <c r="AU51" s="217"/>
      <c r="AV51" s="217"/>
      <c r="AW51" s="217"/>
      <c r="AX51" s="217"/>
      <c r="AY51" s="217"/>
      <c r="AZ51" s="217"/>
      <c r="BA51" s="217"/>
      <c r="BB51" s="217"/>
      <c r="BC51" s="217"/>
      <c r="BD51" s="217"/>
      <c r="BE51" s="217"/>
      <c r="BF51" s="217"/>
      <c r="BG51" s="217"/>
      <c r="BH51" s="217"/>
    </row>
    <row r="52" spans="1:60">
      <c r="A52" s="254">
        <v>42</v>
      </c>
      <c r="B52" s="242"/>
      <c r="C52" s="243"/>
      <c r="D52" s="243"/>
      <c r="E52" s="357"/>
      <c r="F52" s="217"/>
      <c r="G52" s="217"/>
      <c r="H52" s="217"/>
      <c r="I52" s="217"/>
      <c r="J52" s="217"/>
      <c r="K52" s="217"/>
      <c r="L52" s="217"/>
      <c r="M52" s="217"/>
      <c r="N52" s="217"/>
      <c r="O52" s="217"/>
      <c r="P52" s="355"/>
      <c r="Q52" s="217"/>
      <c r="R52" s="217"/>
      <c r="S52" s="217"/>
      <c r="T52" s="217"/>
      <c r="U52" s="217"/>
      <c r="V52" s="217"/>
      <c r="W52" s="217"/>
      <c r="X52" s="217"/>
      <c r="Y52" s="217"/>
      <c r="Z52" s="217"/>
      <c r="AA52" s="217"/>
      <c r="AB52" s="217"/>
      <c r="AC52" s="217"/>
      <c r="AD52" s="217"/>
      <c r="AE52" s="355"/>
      <c r="AF52" s="217"/>
      <c r="AG52" s="217"/>
      <c r="AH52" s="217"/>
      <c r="AI52" s="217"/>
      <c r="AJ52" s="217"/>
      <c r="AK52" s="217"/>
      <c r="AL52" s="217"/>
      <c r="AM52" s="217"/>
      <c r="AN52" s="217"/>
      <c r="AO52" s="217"/>
      <c r="AP52" s="217"/>
      <c r="AQ52" s="217"/>
      <c r="AR52" s="217"/>
      <c r="AS52" s="217"/>
      <c r="AT52" s="355"/>
      <c r="AU52" s="217"/>
      <c r="AV52" s="217"/>
      <c r="AW52" s="217"/>
      <c r="AX52" s="217"/>
      <c r="AY52" s="217"/>
      <c r="AZ52" s="217"/>
      <c r="BA52" s="217"/>
      <c r="BB52" s="217"/>
      <c r="BC52" s="217"/>
      <c r="BD52" s="217"/>
      <c r="BE52" s="217"/>
      <c r="BF52" s="217"/>
      <c r="BG52" s="217"/>
      <c r="BH52" s="217"/>
    </row>
    <row r="53" spans="1:60">
      <c r="A53" s="254">
        <v>43</v>
      </c>
      <c r="B53" s="242"/>
      <c r="C53" s="243"/>
      <c r="D53" s="243"/>
      <c r="E53" s="357"/>
      <c r="F53" s="217"/>
      <c r="G53" s="217"/>
      <c r="H53" s="217"/>
      <c r="I53" s="217"/>
      <c r="J53" s="217"/>
      <c r="K53" s="217"/>
      <c r="L53" s="217"/>
      <c r="M53" s="217"/>
      <c r="N53" s="217"/>
      <c r="O53" s="217"/>
      <c r="P53" s="355"/>
      <c r="Q53" s="217"/>
      <c r="R53" s="217"/>
      <c r="S53" s="217"/>
      <c r="T53" s="217"/>
      <c r="U53" s="217"/>
      <c r="V53" s="217"/>
      <c r="W53" s="217"/>
      <c r="X53" s="217"/>
      <c r="Y53" s="217"/>
      <c r="Z53" s="217"/>
      <c r="AA53" s="217"/>
      <c r="AB53" s="217"/>
      <c r="AC53" s="217"/>
      <c r="AD53" s="217"/>
      <c r="AE53" s="355"/>
      <c r="AF53" s="217"/>
      <c r="AG53" s="217"/>
      <c r="AH53" s="217"/>
      <c r="AI53" s="217"/>
      <c r="AJ53" s="217"/>
      <c r="AK53" s="217"/>
      <c r="AL53" s="217"/>
      <c r="AM53" s="217"/>
      <c r="AN53" s="217"/>
      <c r="AO53" s="217"/>
      <c r="AP53" s="217"/>
      <c r="AQ53" s="217"/>
      <c r="AR53" s="217"/>
      <c r="AS53" s="217"/>
      <c r="AT53" s="355"/>
      <c r="AU53" s="217"/>
      <c r="AV53" s="217"/>
      <c r="AW53" s="217"/>
      <c r="AX53" s="217"/>
      <c r="AY53" s="217"/>
      <c r="AZ53" s="217"/>
      <c r="BA53" s="217"/>
      <c r="BB53" s="217"/>
      <c r="BC53" s="217"/>
      <c r="BD53" s="217"/>
      <c r="BE53" s="217"/>
      <c r="BF53" s="217"/>
      <c r="BG53" s="217"/>
      <c r="BH53" s="217"/>
    </row>
    <row r="54" spans="1:60">
      <c r="A54" s="254">
        <v>44</v>
      </c>
      <c r="B54" s="242"/>
      <c r="C54" s="243"/>
      <c r="D54" s="243"/>
      <c r="E54" s="357"/>
      <c r="F54" s="217"/>
      <c r="G54" s="217"/>
      <c r="H54" s="217"/>
      <c r="I54" s="217"/>
      <c r="J54" s="217"/>
      <c r="K54" s="217"/>
      <c r="L54" s="217"/>
      <c r="M54" s="217"/>
      <c r="N54" s="217"/>
      <c r="O54" s="217"/>
      <c r="P54" s="355"/>
      <c r="Q54" s="217"/>
      <c r="R54" s="217"/>
      <c r="S54" s="217"/>
      <c r="T54" s="217"/>
      <c r="U54" s="217"/>
      <c r="V54" s="217"/>
      <c r="W54" s="217"/>
      <c r="X54" s="217"/>
      <c r="Y54" s="217"/>
      <c r="Z54" s="217"/>
      <c r="AA54" s="217"/>
      <c r="AB54" s="217"/>
      <c r="AC54" s="217"/>
      <c r="AD54" s="217"/>
      <c r="AE54" s="355"/>
      <c r="AF54" s="217"/>
      <c r="AG54" s="217"/>
      <c r="AH54" s="217"/>
      <c r="AI54" s="217"/>
      <c r="AJ54" s="217"/>
      <c r="AK54" s="217"/>
      <c r="AL54" s="217"/>
      <c r="AM54" s="217"/>
      <c r="AN54" s="217"/>
      <c r="AO54" s="217"/>
      <c r="AP54" s="217"/>
      <c r="AQ54" s="217"/>
      <c r="AR54" s="217"/>
      <c r="AS54" s="217"/>
      <c r="AT54" s="355"/>
      <c r="AU54" s="217"/>
      <c r="AV54" s="217"/>
      <c r="AW54" s="217"/>
      <c r="AX54" s="217"/>
      <c r="AY54" s="217"/>
      <c r="AZ54" s="217"/>
      <c r="BA54" s="217"/>
      <c r="BB54" s="217"/>
      <c r="BC54" s="217"/>
      <c r="BD54" s="217"/>
      <c r="BE54" s="217"/>
      <c r="BF54" s="217"/>
      <c r="BG54" s="217"/>
      <c r="BH54" s="217"/>
    </row>
    <row r="55" spans="1:60">
      <c r="A55" s="254">
        <v>45</v>
      </c>
      <c r="B55" s="242"/>
      <c r="C55" s="243"/>
      <c r="D55" s="243"/>
      <c r="E55" s="357"/>
      <c r="F55" s="217"/>
      <c r="G55" s="217"/>
      <c r="H55" s="217"/>
      <c r="I55" s="217"/>
      <c r="J55" s="217"/>
      <c r="K55" s="217"/>
      <c r="L55" s="217"/>
      <c r="M55" s="217"/>
      <c r="N55" s="217"/>
      <c r="O55" s="217"/>
      <c r="P55" s="355"/>
      <c r="Q55" s="217"/>
      <c r="R55" s="217"/>
      <c r="S55" s="217"/>
      <c r="T55" s="217"/>
      <c r="U55" s="217"/>
      <c r="V55" s="217"/>
      <c r="W55" s="217"/>
      <c r="X55" s="217"/>
      <c r="Y55" s="217"/>
      <c r="Z55" s="217"/>
      <c r="AA55" s="217"/>
      <c r="AB55" s="217"/>
      <c r="AC55" s="217"/>
      <c r="AD55" s="217"/>
      <c r="AE55" s="355"/>
      <c r="AF55" s="217"/>
      <c r="AG55" s="217"/>
      <c r="AH55" s="217"/>
      <c r="AI55" s="217"/>
      <c r="AJ55" s="217"/>
      <c r="AK55" s="217"/>
      <c r="AL55" s="217"/>
      <c r="AM55" s="217"/>
      <c r="AN55" s="217"/>
      <c r="AO55" s="217"/>
      <c r="AP55" s="217"/>
      <c r="AQ55" s="217"/>
      <c r="AR55" s="217"/>
      <c r="AS55" s="217"/>
      <c r="AT55" s="355"/>
      <c r="AU55" s="217"/>
      <c r="AV55" s="217"/>
      <c r="AW55" s="217"/>
      <c r="AX55" s="217"/>
      <c r="AY55" s="217"/>
      <c r="AZ55" s="217"/>
      <c r="BA55" s="217"/>
      <c r="BB55" s="217"/>
      <c r="BC55" s="217"/>
      <c r="BD55" s="217"/>
      <c r="BE55" s="217"/>
      <c r="BF55" s="217"/>
      <c r="BG55" s="217"/>
      <c r="BH55" s="217"/>
    </row>
    <row r="56" spans="1:60">
      <c r="A56" s="254">
        <v>46</v>
      </c>
      <c r="B56" s="242"/>
      <c r="C56" s="243"/>
      <c r="D56" s="243"/>
      <c r="E56" s="357"/>
      <c r="F56" s="217"/>
      <c r="G56" s="217"/>
      <c r="H56" s="217"/>
      <c r="I56" s="217"/>
      <c r="J56" s="217"/>
      <c r="K56" s="217"/>
      <c r="L56" s="217"/>
      <c r="M56" s="217"/>
      <c r="N56" s="217"/>
      <c r="O56" s="217"/>
      <c r="P56" s="355"/>
      <c r="Q56" s="217"/>
      <c r="R56" s="217"/>
      <c r="S56" s="217"/>
      <c r="T56" s="217"/>
      <c r="U56" s="217"/>
      <c r="V56" s="217"/>
      <c r="W56" s="217"/>
      <c r="X56" s="217"/>
      <c r="Y56" s="217"/>
      <c r="Z56" s="217"/>
      <c r="AA56" s="217"/>
      <c r="AB56" s="217"/>
      <c r="AC56" s="217"/>
      <c r="AD56" s="217"/>
      <c r="AE56" s="355"/>
      <c r="AF56" s="217"/>
      <c r="AG56" s="217"/>
      <c r="AH56" s="217"/>
      <c r="AI56" s="217"/>
      <c r="AJ56" s="217"/>
      <c r="AK56" s="217"/>
      <c r="AL56" s="217"/>
      <c r="AM56" s="217"/>
      <c r="AN56" s="217"/>
      <c r="AO56" s="217"/>
      <c r="AP56" s="217"/>
      <c r="AQ56" s="217"/>
      <c r="AR56" s="217"/>
      <c r="AS56" s="217"/>
      <c r="AT56" s="355"/>
      <c r="AU56" s="217"/>
      <c r="AV56" s="217"/>
      <c r="AW56" s="217"/>
      <c r="AX56" s="217"/>
      <c r="AY56" s="217"/>
      <c r="AZ56" s="217"/>
      <c r="BA56" s="217"/>
      <c r="BB56" s="217"/>
      <c r="BC56" s="217"/>
      <c r="BD56" s="217"/>
      <c r="BE56" s="217"/>
      <c r="BF56" s="217"/>
      <c r="BG56" s="217"/>
      <c r="BH56" s="217"/>
    </row>
    <row r="57" spans="1:60">
      <c r="A57" s="254">
        <v>47</v>
      </c>
      <c r="B57" s="242"/>
      <c r="C57" s="243"/>
      <c r="D57" s="243"/>
      <c r="E57" s="357"/>
      <c r="F57" s="217"/>
      <c r="G57" s="217"/>
      <c r="H57" s="217"/>
      <c r="I57" s="217"/>
      <c r="J57" s="217"/>
      <c r="K57" s="217"/>
      <c r="L57" s="217"/>
      <c r="M57" s="217"/>
      <c r="N57" s="217"/>
      <c r="O57" s="217"/>
      <c r="P57" s="355"/>
      <c r="Q57" s="217"/>
      <c r="R57" s="217"/>
      <c r="S57" s="217"/>
      <c r="T57" s="217"/>
      <c r="U57" s="217"/>
      <c r="V57" s="217"/>
      <c r="W57" s="217"/>
      <c r="X57" s="217"/>
      <c r="Y57" s="217"/>
      <c r="Z57" s="217"/>
      <c r="AA57" s="217"/>
      <c r="AB57" s="217"/>
      <c r="AC57" s="217"/>
      <c r="AD57" s="217"/>
      <c r="AE57" s="355"/>
      <c r="AF57" s="217"/>
      <c r="AG57" s="217"/>
      <c r="AH57" s="217"/>
      <c r="AI57" s="217"/>
      <c r="AJ57" s="217"/>
      <c r="AK57" s="217"/>
      <c r="AL57" s="217"/>
      <c r="AM57" s="217"/>
      <c r="AN57" s="217"/>
      <c r="AO57" s="217"/>
      <c r="AP57" s="217"/>
      <c r="AQ57" s="217"/>
      <c r="AR57" s="217"/>
      <c r="AS57" s="217"/>
      <c r="AT57" s="355"/>
      <c r="AU57" s="217"/>
      <c r="AV57" s="217"/>
      <c r="AW57" s="217"/>
      <c r="AX57" s="217"/>
      <c r="AY57" s="217"/>
      <c r="AZ57" s="217"/>
      <c r="BA57" s="217"/>
      <c r="BB57" s="217"/>
      <c r="BC57" s="217"/>
      <c r="BD57" s="217"/>
      <c r="BE57" s="217"/>
      <c r="BF57" s="217"/>
      <c r="BG57" s="217"/>
      <c r="BH57" s="217"/>
    </row>
    <row r="58" spans="1:60">
      <c r="A58" s="254">
        <v>48</v>
      </c>
      <c r="B58" s="242"/>
      <c r="C58" s="243"/>
      <c r="D58" s="243"/>
      <c r="E58" s="357"/>
      <c r="F58" s="217"/>
      <c r="G58" s="217"/>
      <c r="H58" s="217"/>
      <c r="I58" s="217"/>
      <c r="J58" s="217"/>
      <c r="K58" s="217"/>
      <c r="L58" s="217"/>
      <c r="M58" s="217"/>
      <c r="N58" s="217"/>
      <c r="O58" s="217"/>
      <c r="P58" s="355"/>
      <c r="Q58" s="217"/>
      <c r="R58" s="217"/>
      <c r="S58" s="217"/>
      <c r="T58" s="217"/>
      <c r="U58" s="217"/>
      <c r="V58" s="217"/>
      <c r="W58" s="217"/>
      <c r="X58" s="217"/>
      <c r="Y58" s="217"/>
      <c r="Z58" s="217"/>
      <c r="AA58" s="217"/>
      <c r="AB58" s="217"/>
      <c r="AC58" s="217"/>
      <c r="AD58" s="217"/>
      <c r="AE58" s="355"/>
      <c r="AF58" s="217"/>
      <c r="AG58" s="217"/>
      <c r="AH58" s="217"/>
      <c r="AI58" s="217"/>
      <c r="AJ58" s="217"/>
      <c r="AK58" s="217"/>
      <c r="AL58" s="217"/>
      <c r="AM58" s="217"/>
      <c r="AN58" s="217"/>
      <c r="AO58" s="217"/>
      <c r="AP58" s="217"/>
      <c r="AQ58" s="217"/>
      <c r="AR58" s="217"/>
      <c r="AS58" s="217"/>
      <c r="AT58" s="355"/>
      <c r="AU58" s="217"/>
      <c r="AV58" s="217"/>
      <c r="AW58" s="217"/>
      <c r="AX58" s="217"/>
      <c r="AY58" s="217"/>
      <c r="AZ58" s="217"/>
      <c r="BA58" s="217"/>
      <c r="BB58" s="217"/>
      <c r="BC58" s="217"/>
      <c r="BD58" s="217"/>
      <c r="BE58" s="217"/>
      <c r="BF58" s="217"/>
      <c r="BG58" s="217"/>
      <c r="BH58" s="217"/>
    </row>
    <row r="59" spans="1:60">
      <c r="A59" s="254">
        <v>49</v>
      </c>
      <c r="B59" s="242"/>
      <c r="C59" s="243"/>
      <c r="D59" s="243"/>
      <c r="E59" s="357"/>
      <c r="F59" s="217"/>
      <c r="G59" s="217"/>
      <c r="H59" s="217"/>
      <c r="I59" s="217"/>
      <c r="J59" s="217"/>
      <c r="K59" s="217"/>
      <c r="L59" s="217"/>
      <c r="M59" s="217"/>
      <c r="N59" s="217"/>
      <c r="O59" s="217"/>
      <c r="P59" s="355"/>
      <c r="Q59" s="217"/>
      <c r="R59" s="217"/>
      <c r="S59" s="217"/>
      <c r="T59" s="217"/>
      <c r="U59" s="217"/>
      <c r="V59" s="217"/>
      <c r="W59" s="217"/>
      <c r="X59" s="217"/>
      <c r="Y59" s="217"/>
      <c r="Z59" s="217"/>
      <c r="AA59" s="217"/>
      <c r="AB59" s="217"/>
      <c r="AC59" s="217"/>
      <c r="AD59" s="217"/>
      <c r="AE59" s="355"/>
      <c r="AF59" s="217"/>
      <c r="AG59" s="217"/>
      <c r="AH59" s="217"/>
      <c r="AI59" s="217"/>
      <c r="AJ59" s="217"/>
      <c r="AK59" s="217"/>
      <c r="AL59" s="217"/>
      <c r="AM59" s="217"/>
      <c r="AN59" s="217"/>
      <c r="AO59" s="217"/>
      <c r="AP59" s="217"/>
      <c r="AQ59" s="217"/>
      <c r="AR59" s="217"/>
      <c r="AS59" s="217"/>
      <c r="AT59" s="355"/>
      <c r="AU59" s="217"/>
      <c r="AV59" s="217"/>
      <c r="AW59" s="217"/>
      <c r="AX59" s="217"/>
      <c r="AY59" s="217"/>
      <c r="AZ59" s="217"/>
      <c r="BA59" s="217"/>
      <c r="BB59" s="217"/>
      <c r="BC59" s="217"/>
      <c r="BD59" s="217"/>
      <c r="BE59" s="217"/>
      <c r="BF59" s="217"/>
      <c r="BG59" s="217"/>
      <c r="BH59" s="217"/>
    </row>
    <row r="60" spans="1:60">
      <c r="A60" s="254">
        <v>50</v>
      </c>
      <c r="B60" s="242"/>
      <c r="C60" s="243"/>
      <c r="D60" s="243"/>
      <c r="E60" s="357"/>
      <c r="F60" s="217"/>
      <c r="G60" s="217"/>
      <c r="H60" s="217"/>
      <c r="I60" s="217"/>
      <c r="J60" s="217"/>
      <c r="K60" s="217"/>
      <c r="L60" s="217"/>
      <c r="M60" s="217"/>
      <c r="N60" s="217"/>
      <c r="O60" s="217"/>
      <c r="P60" s="355"/>
      <c r="Q60" s="217"/>
      <c r="R60" s="217"/>
      <c r="S60" s="217"/>
      <c r="T60" s="217"/>
      <c r="U60" s="217"/>
      <c r="V60" s="217"/>
      <c r="W60" s="217"/>
      <c r="X60" s="217"/>
      <c r="Y60" s="217"/>
      <c r="Z60" s="217"/>
      <c r="AA60" s="217"/>
      <c r="AB60" s="217"/>
      <c r="AC60" s="217"/>
      <c r="AD60" s="217"/>
      <c r="AE60" s="355"/>
      <c r="AF60" s="217"/>
      <c r="AG60" s="217"/>
      <c r="AH60" s="217"/>
      <c r="AI60" s="217"/>
      <c r="AJ60" s="217"/>
      <c r="AK60" s="217"/>
      <c r="AL60" s="217"/>
      <c r="AM60" s="217"/>
      <c r="AN60" s="217"/>
      <c r="AO60" s="217"/>
      <c r="AP60" s="217"/>
      <c r="AQ60" s="217"/>
      <c r="AR60" s="217"/>
      <c r="AS60" s="217"/>
      <c r="AT60" s="355"/>
      <c r="AU60" s="217"/>
      <c r="AV60" s="217"/>
      <c r="AW60" s="217"/>
      <c r="AX60" s="217"/>
      <c r="AY60" s="217"/>
      <c r="AZ60" s="217"/>
      <c r="BA60" s="217"/>
      <c r="BB60" s="217"/>
      <c r="BC60" s="217"/>
      <c r="BD60" s="217"/>
      <c r="BE60" s="217"/>
      <c r="BF60" s="217"/>
      <c r="BG60" s="217"/>
      <c r="BH60" s="217"/>
    </row>
    <row r="61" spans="1:60">
      <c r="A61" s="254">
        <v>51</v>
      </c>
      <c r="B61" s="242"/>
      <c r="C61" s="243"/>
      <c r="D61" s="243"/>
      <c r="E61" s="357"/>
      <c r="F61" s="217"/>
      <c r="G61" s="217"/>
      <c r="H61" s="217"/>
      <c r="I61" s="217"/>
      <c r="J61" s="217"/>
      <c r="K61" s="217"/>
      <c r="L61" s="217"/>
      <c r="M61" s="217"/>
      <c r="N61" s="217"/>
      <c r="O61" s="217"/>
      <c r="P61" s="355"/>
      <c r="Q61" s="217"/>
      <c r="R61" s="217"/>
      <c r="S61" s="217"/>
      <c r="T61" s="217"/>
      <c r="U61" s="217"/>
      <c r="V61" s="217"/>
      <c r="W61" s="217"/>
      <c r="X61" s="217"/>
      <c r="Y61" s="217"/>
      <c r="Z61" s="217"/>
      <c r="AA61" s="217"/>
      <c r="AB61" s="217"/>
      <c r="AC61" s="217"/>
      <c r="AD61" s="217"/>
      <c r="AE61" s="355"/>
      <c r="AF61" s="217"/>
      <c r="AG61" s="217"/>
      <c r="AH61" s="217"/>
      <c r="AI61" s="217"/>
      <c r="AJ61" s="217"/>
      <c r="AK61" s="217"/>
      <c r="AL61" s="217"/>
      <c r="AM61" s="217"/>
      <c r="AN61" s="217"/>
      <c r="AO61" s="217"/>
      <c r="AP61" s="217"/>
      <c r="AQ61" s="217"/>
      <c r="AR61" s="217"/>
      <c r="AS61" s="217"/>
      <c r="AT61" s="355"/>
      <c r="AU61" s="217"/>
      <c r="AV61" s="217"/>
      <c r="AW61" s="217"/>
      <c r="AX61" s="217"/>
      <c r="AY61" s="217"/>
      <c r="AZ61" s="217"/>
      <c r="BA61" s="217"/>
      <c r="BB61" s="217"/>
      <c r="BC61" s="217"/>
      <c r="BD61" s="217"/>
      <c r="BE61" s="217"/>
      <c r="BF61" s="217"/>
      <c r="BG61" s="217"/>
      <c r="BH61" s="217"/>
    </row>
    <row r="62" spans="1:60">
      <c r="A62" s="254">
        <v>52</v>
      </c>
      <c r="B62" s="242"/>
      <c r="C62" s="243"/>
      <c r="D62" s="243"/>
      <c r="E62" s="357"/>
      <c r="F62" s="217"/>
      <c r="G62" s="217"/>
      <c r="H62" s="217"/>
      <c r="I62" s="217"/>
      <c r="J62" s="217"/>
      <c r="K62" s="217"/>
      <c r="L62" s="217"/>
      <c r="M62" s="217"/>
      <c r="N62" s="217"/>
      <c r="O62" s="217"/>
      <c r="P62" s="355"/>
      <c r="Q62" s="217"/>
      <c r="R62" s="217"/>
      <c r="S62" s="217"/>
      <c r="T62" s="217"/>
      <c r="U62" s="217"/>
      <c r="V62" s="217"/>
      <c r="W62" s="217"/>
      <c r="X62" s="217"/>
      <c r="Y62" s="217"/>
      <c r="Z62" s="217"/>
      <c r="AA62" s="217"/>
      <c r="AB62" s="217"/>
      <c r="AC62" s="217"/>
      <c r="AD62" s="217"/>
      <c r="AE62" s="355"/>
      <c r="AF62" s="217"/>
      <c r="AG62" s="217"/>
      <c r="AH62" s="217"/>
      <c r="AI62" s="217"/>
      <c r="AJ62" s="217"/>
      <c r="AK62" s="217"/>
      <c r="AL62" s="217"/>
      <c r="AM62" s="217"/>
      <c r="AN62" s="217"/>
      <c r="AO62" s="217"/>
      <c r="AP62" s="217"/>
      <c r="AQ62" s="217"/>
      <c r="AR62" s="217"/>
      <c r="AS62" s="217"/>
      <c r="AT62" s="355"/>
      <c r="AU62" s="217"/>
      <c r="AV62" s="217"/>
      <c r="AW62" s="217"/>
      <c r="AX62" s="217"/>
      <c r="AY62" s="217"/>
      <c r="AZ62" s="217"/>
      <c r="BA62" s="217"/>
      <c r="BB62" s="217"/>
      <c r="BC62" s="217"/>
      <c r="BD62" s="217"/>
      <c r="BE62" s="217"/>
      <c r="BF62" s="217"/>
      <c r="BG62" s="217"/>
      <c r="BH62" s="217"/>
    </row>
    <row r="63" spans="1:60">
      <c r="A63" s="254">
        <v>53</v>
      </c>
      <c r="B63" s="242"/>
      <c r="C63" s="243"/>
      <c r="D63" s="243"/>
      <c r="E63" s="357"/>
      <c r="F63" s="217"/>
      <c r="G63" s="217"/>
      <c r="H63" s="217"/>
      <c r="I63" s="217"/>
      <c r="J63" s="217"/>
      <c r="K63" s="217"/>
      <c r="L63" s="217"/>
      <c r="M63" s="217"/>
      <c r="N63" s="217"/>
      <c r="O63" s="217"/>
      <c r="P63" s="355"/>
      <c r="Q63" s="217"/>
      <c r="R63" s="217"/>
      <c r="S63" s="217"/>
      <c r="T63" s="217"/>
      <c r="U63" s="217"/>
      <c r="V63" s="217"/>
      <c r="W63" s="217"/>
      <c r="X63" s="217"/>
      <c r="Y63" s="217"/>
      <c r="Z63" s="217"/>
      <c r="AA63" s="217"/>
      <c r="AB63" s="217"/>
      <c r="AC63" s="217"/>
      <c r="AD63" s="217"/>
      <c r="AE63" s="355"/>
      <c r="AF63" s="217"/>
      <c r="AG63" s="217"/>
      <c r="AH63" s="217"/>
      <c r="AI63" s="217"/>
      <c r="AJ63" s="217"/>
      <c r="AK63" s="217"/>
      <c r="AL63" s="217"/>
      <c r="AM63" s="217"/>
      <c r="AN63" s="217"/>
      <c r="AO63" s="217"/>
      <c r="AP63" s="217"/>
      <c r="AQ63" s="217"/>
      <c r="AR63" s="217"/>
      <c r="AS63" s="217"/>
      <c r="AT63" s="355"/>
      <c r="AU63" s="217"/>
      <c r="AV63" s="217"/>
      <c r="AW63" s="217"/>
      <c r="AX63" s="217"/>
      <c r="AY63" s="217"/>
      <c r="AZ63" s="217"/>
      <c r="BA63" s="217"/>
      <c r="BB63" s="217"/>
      <c r="BC63" s="217"/>
      <c r="BD63" s="217"/>
      <c r="BE63" s="217"/>
      <c r="BF63" s="217"/>
      <c r="BG63" s="217"/>
      <c r="BH63" s="217"/>
    </row>
    <row r="64" spans="1:60">
      <c r="A64" s="254">
        <v>54</v>
      </c>
      <c r="B64" s="242"/>
      <c r="C64" s="243"/>
      <c r="D64" s="243"/>
      <c r="E64" s="357"/>
      <c r="F64" s="217"/>
      <c r="G64" s="217"/>
      <c r="H64" s="217"/>
      <c r="I64" s="217"/>
      <c r="J64" s="217"/>
      <c r="K64" s="217"/>
      <c r="L64" s="217"/>
      <c r="M64" s="217"/>
      <c r="N64" s="217"/>
      <c r="O64" s="217"/>
      <c r="P64" s="355"/>
      <c r="Q64" s="217"/>
      <c r="R64" s="217"/>
      <c r="S64" s="217"/>
      <c r="T64" s="217"/>
      <c r="U64" s="217"/>
      <c r="V64" s="217"/>
      <c r="W64" s="217"/>
      <c r="X64" s="217"/>
      <c r="Y64" s="217"/>
      <c r="Z64" s="217"/>
      <c r="AA64" s="217"/>
      <c r="AB64" s="217"/>
      <c r="AC64" s="217"/>
      <c r="AD64" s="217"/>
      <c r="AE64" s="355"/>
      <c r="AF64" s="217"/>
      <c r="AG64" s="217"/>
      <c r="AH64" s="217"/>
      <c r="AI64" s="217"/>
      <c r="AJ64" s="217"/>
      <c r="AK64" s="217"/>
      <c r="AL64" s="217"/>
      <c r="AM64" s="217"/>
      <c r="AN64" s="217"/>
      <c r="AO64" s="217"/>
      <c r="AP64" s="217"/>
      <c r="AQ64" s="217"/>
      <c r="AR64" s="217"/>
      <c r="AS64" s="217"/>
      <c r="AT64" s="355"/>
      <c r="AU64" s="217"/>
      <c r="AV64" s="217"/>
      <c r="AW64" s="217"/>
      <c r="AX64" s="217"/>
      <c r="AY64" s="217"/>
      <c r="AZ64" s="217"/>
      <c r="BA64" s="217"/>
      <c r="BB64" s="217"/>
      <c r="BC64" s="217"/>
      <c r="BD64" s="217"/>
      <c r="BE64" s="217"/>
      <c r="BF64" s="217"/>
      <c r="BG64" s="217"/>
      <c r="BH64" s="217"/>
    </row>
    <row r="65" spans="1:60">
      <c r="A65" s="254">
        <v>55</v>
      </c>
      <c r="B65" s="242"/>
      <c r="C65" s="243"/>
      <c r="D65" s="243"/>
      <c r="E65" s="357"/>
      <c r="F65" s="217"/>
      <c r="G65" s="217"/>
      <c r="H65" s="217"/>
      <c r="I65" s="217"/>
      <c r="J65" s="217"/>
      <c r="K65" s="217"/>
      <c r="L65" s="217"/>
      <c r="M65" s="217"/>
      <c r="N65" s="217"/>
      <c r="O65" s="217"/>
      <c r="P65" s="355"/>
      <c r="Q65" s="217"/>
      <c r="R65" s="217"/>
      <c r="S65" s="217"/>
      <c r="T65" s="217"/>
      <c r="U65" s="217"/>
      <c r="V65" s="217"/>
      <c r="W65" s="217"/>
      <c r="X65" s="217"/>
      <c r="Y65" s="217"/>
      <c r="Z65" s="217"/>
      <c r="AA65" s="217"/>
      <c r="AB65" s="217"/>
      <c r="AC65" s="217"/>
      <c r="AD65" s="217"/>
      <c r="AE65" s="355"/>
      <c r="AF65" s="217"/>
      <c r="AG65" s="217"/>
      <c r="AH65" s="217"/>
      <c r="AI65" s="217"/>
      <c r="AJ65" s="217"/>
      <c r="AK65" s="217"/>
      <c r="AL65" s="217"/>
      <c r="AM65" s="217"/>
      <c r="AN65" s="217"/>
      <c r="AO65" s="217"/>
      <c r="AP65" s="217"/>
      <c r="AQ65" s="217"/>
      <c r="AR65" s="217"/>
      <c r="AS65" s="217"/>
      <c r="AT65" s="355"/>
      <c r="AU65" s="217"/>
      <c r="AV65" s="217"/>
      <c r="AW65" s="217"/>
      <c r="AX65" s="217"/>
      <c r="AY65" s="217"/>
      <c r="AZ65" s="217"/>
      <c r="BA65" s="217"/>
      <c r="BB65" s="217"/>
      <c r="BC65" s="217"/>
      <c r="BD65" s="217"/>
      <c r="BE65" s="217"/>
      <c r="BF65" s="217"/>
      <c r="BG65" s="217"/>
      <c r="BH65" s="217"/>
    </row>
    <row r="66" spans="1:60">
      <c r="A66" s="254">
        <v>56</v>
      </c>
      <c r="B66" s="242"/>
      <c r="C66" s="243"/>
      <c r="D66" s="243"/>
      <c r="E66" s="357"/>
      <c r="F66" s="217"/>
      <c r="G66" s="217"/>
      <c r="H66" s="217"/>
      <c r="I66" s="217"/>
      <c r="J66" s="217"/>
      <c r="K66" s="217"/>
      <c r="L66" s="217"/>
      <c r="M66" s="217"/>
      <c r="N66" s="217"/>
      <c r="O66" s="217"/>
      <c r="P66" s="355"/>
      <c r="Q66" s="217"/>
      <c r="R66" s="217"/>
      <c r="S66" s="217"/>
      <c r="T66" s="217"/>
      <c r="U66" s="217"/>
      <c r="V66" s="217"/>
      <c r="W66" s="217"/>
      <c r="X66" s="217"/>
      <c r="Y66" s="217"/>
      <c r="Z66" s="217"/>
      <c r="AA66" s="217"/>
      <c r="AB66" s="217"/>
      <c r="AC66" s="217"/>
      <c r="AD66" s="217"/>
      <c r="AE66" s="355"/>
      <c r="AF66" s="217"/>
      <c r="AG66" s="217"/>
      <c r="AH66" s="217"/>
      <c r="AI66" s="217"/>
      <c r="AJ66" s="217"/>
      <c r="AK66" s="217"/>
      <c r="AL66" s="217"/>
      <c r="AM66" s="217"/>
      <c r="AN66" s="217"/>
      <c r="AO66" s="217"/>
      <c r="AP66" s="217"/>
      <c r="AQ66" s="217"/>
      <c r="AR66" s="217"/>
      <c r="AS66" s="217"/>
      <c r="AT66" s="355"/>
      <c r="AU66" s="217"/>
      <c r="AV66" s="217"/>
      <c r="AW66" s="217"/>
      <c r="AX66" s="217"/>
      <c r="AY66" s="217"/>
      <c r="AZ66" s="217"/>
      <c r="BA66" s="217"/>
      <c r="BB66" s="217"/>
      <c r="BC66" s="217"/>
      <c r="BD66" s="217"/>
      <c r="BE66" s="217"/>
      <c r="BF66" s="217"/>
      <c r="BG66" s="217"/>
      <c r="BH66" s="217"/>
    </row>
    <row r="67" spans="1:60">
      <c r="A67" s="254">
        <v>57</v>
      </c>
      <c r="B67" s="242"/>
      <c r="C67" s="243"/>
      <c r="D67" s="243"/>
      <c r="E67" s="357"/>
      <c r="F67" s="217"/>
      <c r="G67" s="217"/>
      <c r="H67" s="217"/>
      <c r="I67" s="217"/>
      <c r="J67" s="217"/>
      <c r="K67" s="217"/>
      <c r="L67" s="217"/>
      <c r="M67" s="217"/>
      <c r="N67" s="217"/>
      <c r="O67" s="217"/>
      <c r="P67" s="355"/>
      <c r="Q67" s="217"/>
      <c r="R67" s="217"/>
      <c r="S67" s="217"/>
      <c r="T67" s="217"/>
      <c r="U67" s="217"/>
      <c r="V67" s="217"/>
      <c r="W67" s="217"/>
      <c r="X67" s="217"/>
      <c r="Y67" s="217"/>
      <c r="Z67" s="217"/>
      <c r="AA67" s="217"/>
      <c r="AB67" s="217"/>
      <c r="AC67" s="217"/>
      <c r="AD67" s="217"/>
      <c r="AE67" s="355"/>
      <c r="AF67" s="217"/>
      <c r="AG67" s="217"/>
      <c r="AH67" s="217"/>
      <c r="AI67" s="217"/>
      <c r="AJ67" s="217"/>
      <c r="AK67" s="217"/>
      <c r="AL67" s="217"/>
      <c r="AM67" s="217"/>
      <c r="AN67" s="217"/>
      <c r="AO67" s="217"/>
      <c r="AP67" s="217"/>
      <c r="AQ67" s="217"/>
      <c r="AR67" s="217"/>
      <c r="AS67" s="217"/>
      <c r="AT67" s="355"/>
      <c r="AU67" s="217"/>
      <c r="AV67" s="217"/>
      <c r="AW67" s="217"/>
      <c r="AX67" s="217"/>
      <c r="AY67" s="217"/>
      <c r="AZ67" s="217"/>
      <c r="BA67" s="217"/>
      <c r="BB67" s="217"/>
      <c r="BC67" s="217"/>
      <c r="BD67" s="217"/>
      <c r="BE67" s="217"/>
      <c r="BF67" s="217"/>
      <c r="BG67" s="217"/>
      <c r="BH67" s="217"/>
    </row>
    <row r="68" spans="1:60">
      <c r="A68" s="254">
        <v>58</v>
      </c>
      <c r="B68" s="242"/>
      <c r="C68" s="243"/>
      <c r="D68" s="243"/>
      <c r="E68" s="357"/>
      <c r="F68" s="217"/>
      <c r="G68" s="217"/>
      <c r="H68" s="217"/>
      <c r="I68" s="217"/>
      <c r="J68" s="217"/>
      <c r="K68" s="217"/>
      <c r="L68" s="217"/>
      <c r="M68" s="217"/>
      <c r="N68" s="217"/>
      <c r="O68" s="217"/>
      <c r="P68" s="355"/>
      <c r="Q68" s="217"/>
      <c r="R68" s="217"/>
      <c r="S68" s="217"/>
      <c r="T68" s="217"/>
      <c r="U68" s="217"/>
      <c r="V68" s="217"/>
      <c r="W68" s="217"/>
      <c r="X68" s="217"/>
      <c r="Y68" s="217"/>
      <c r="Z68" s="217"/>
      <c r="AA68" s="217"/>
      <c r="AB68" s="217"/>
      <c r="AC68" s="217"/>
      <c r="AD68" s="217"/>
      <c r="AE68" s="355"/>
      <c r="AF68" s="217"/>
      <c r="AG68" s="217"/>
      <c r="AH68" s="217"/>
      <c r="AI68" s="217"/>
      <c r="AJ68" s="217"/>
      <c r="AK68" s="217"/>
      <c r="AL68" s="217"/>
      <c r="AM68" s="217"/>
      <c r="AN68" s="217"/>
      <c r="AO68" s="217"/>
      <c r="AP68" s="217"/>
      <c r="AQ68" s="217"/>
      <c r="AR68" s="217"/>
      <c r="AS68" s="217"/>
      <c r="AT68" s="355"/>
      <c r="AU68" s="217"/>
      <c r="AV68" s="217"/>
      <c r="AW68" s="217"/>
      <c r="AX68" s="217"/>
      <c r="AY68" s="217"/>
      <c r="AZ68" s="217"/>
      <c r="BA68" s="217"/>
      <c r="BB68" s="217"/>
      <c r="BC68" s="217"/>
      <c r="BD68" s="217"/>
      <c r="BE68" s="217"/>
      <c r="BF68" s="217"/>
      <c r="BG68" s="217"/>
      <c r="BH68" s="217"/>
    </row>
    <row r="69" spans="1:60">
      <c r="A69" s="254">
        <v>59</v>
      </c>
      <c r="B69" s="242"/>
      <c r="C69" s="243"/>
      <c r="D69" s="243"/>
      <c r="E69" s="357"/>
      <c r="F69" s="217"/>
      <c r="G69" s="217"/>
      <c r="H69" s="217"/>
      <c r="I69" s="217"/>
      <c r="J69" s="217"/>
      <c r="K69" s="217"/>
      <c r="L69" s="217"/>
      <c r="M69" s="217"/>
      <c r="N69" s="217"/>
      <c r="O69" s="217"/>
      <c r="P69" s="355"/>
      <c r="Q69" s="217"/>
      <c r="R69" s="217"/>
      <c r="S69" s="217"/>
      <c r="T69" s="217"/>
      <c r="U69" s="217"/>
      <c r="V69" s="217"/>
      <c r="W69" s="217"/>
      <c r="X69" s="217"/>
      <c r="Y69" s="217"/>
      <c r="Z69" s="217"/>
      <c r="AA69" s="217"/>
      <c r="AB69" s="217"/>
      <c r="AC69" s="217"/>
      <c r="AD69" s="217"/>
      <c r="AE69" s="355"/>
      <c r="AF69" s="217"/>
      <c r="AG69" s="217"/>
      <c r="AH69" s="217"/>
      <c r="AI69" s="217"/>
      <c r="AJ69" s="217"/>
      <c r="AK69" s="217"/>
      <c r="AL69" s="217"/>
      <c r="AM69" s="217"/>
      <c r="AN69" s="217"/>
      <c r="AO69" s="217"/>
      <c r="AP69" s="217"/>
      <c r="AQ69" s="217"/>
      <c r="AR69" s="217"/>
      <c r="AS69" s="217"/>
      <c r="AT69" s="355"/>
      <c r="AU69" s="217"/>
      <c r="AV69" s="217"/>
      <c r="AW69" s="217"/>
      <c r="AX69" s="217"/>
      <c r="AY69" s="217"/>
      <c r="AZ69" s="217"/>
      <c r="BA69" s="217"/>
      <c r="BB69" s="217"/>
      <c r="BC69" s="217"/>
      <c r="BD69" s="217"/>
      <c r="BE69" s="217"/>
      <c r="BF69" s="217"/>
      <c r="BG69" s="217"/>
      <c r="BH69" s="217"/>
    </row>
    <row r="70" spans="1:60">
      <c r="A70" s="254">
        <v>60</v>
      </c>
      <c r="B70" s="242"/>
      <c r="C70" s="243"/>
      <c r="D70" s="243"/>
      <c r="E70" s="357"/>
      <c r="F70" s="217"/>
      <c r="G70" s="217"/>
      <c r="H70" s="217"/>
      <c r="I70" s="217"/>
      <c r="J70" s="217"/>
      <c r="K70" s="217"/>
      <c r="L70" s="217"/>
      <c r="M70" s="217"/>
      <c r="N70" s="217"/>
      <c r="O70" s="217"/>
      <c r="P70" s="355"/>
      <c r="Q70" s="217"/>
      <c r="R70" s="217"/>
      <c r="S70" s="217"/>
      <c r="T70" s="217"/>
      <c r="U70" s="217"/>
      <c r="V70" s="217"/>
      <c r="W70" s="217"/>
      <c r="X70" s="217"/>
      <c r="Y70" s="217"/>
      <c r="Z70" s="217"/>
      <c r="AA70" s="217"/>
      <c r="AB70" s="217"/>
      <c r="AC70" s="217"/>
      <c r="AD70" s="217"/>
      <c r="AE70" s="355"/>
      <c r="AF70" s="217"/>
      <c r="AG70" s="217"/>
      <c r="AH70" s="217"/>
      <c r="AI70" s="217"/>
      <c r="AJ70" s="217"/>
      <c r="AK70" s="217"/>
      <c r="AL70" s="217"/>
      <c r="AM70" s="217"/>
      <c r="AN70" s="217"/>
      <c r="AO70" s="217"/>
      <c r="AP70" s="217"/>
      <c r="AQ70" s="217"/>
      <c r="AR70" s="217"/>
      <c r="AS70" s="217"/>
      <c r="AT70" s="355"/>
      <c r="AU70" s="217"/>
      <c r="AV70" s="217"/>
      <c r="AW70" s="217"/>
      <c r="AX70" s="217"/>
      <c r="AY70" s="217"/>
      <c r="AZ70" s="217"/>
      <c r="BA70" s="217"/>
      <c r="BB70" s="217"/>
      <c r="BC70" s="217"/>
      <c r="BD70" s="217"/>
      <c r="BE70" s="217"/>
      <c r="BF70" s="217"/>
      <c r="BG70" s="217"/>
      <c r="BH70" s="217"/>
    </row>
    <row r="71" spans="1:60">
      <c r="A71" s="254">
        <v>61</v>
      </c>
      <c r="B71" s="242"/>
      <c r="C71" s="243"/>
      <c r="D71" s="243"/>
      <c r="E71" s="357"/>
      <c r="F71" s="217"/>
      <c r="G71" s="217"/>
      <c r="H71" s="217"/>
      <c r="I71" s="217"/>
      <c r="J71" s="217"/>
      <c r="K71" s="217"/>
      <c r="L71" s="217"/>
      <c r="M71" s="217"/>
      <c r="N71" s="217"/>
      <c r="O71" s="217"/>
      <c r="P71" s="355"/>
      <c r="Q71" s="217"/>
      <c r="R71" s="217"/>
      <c r="S71" s="217"/>
      <c r="T71" s="217"/>
      <c r="U71" s="217"/>
      <c r="V71" s="217"/>
      <c r="W71" s="217"/>
      <c r="X71" s="217"/>
      <c r="Y71" s="217"/>
      <c r="Z71" s="217"/>
      <c r="AA71" s="217"/>
      <c r="AB71" s="217"/>
      <c r="AC71" s="217"/>
      <c r="AD71" s="217"/>
      <c r="AE71" s="355"/>
      <c r="AF71" s="217"/>
      <c r="AG71" s="217"/>
      <c r="AH71" s="217"/>
      <c r="AI71" s="217"/>
      <c r="AJ71" s="217"/>
      <c r="AK71" s="217"/>
      <c r="AL71" s="217"/>
      <c r="AM71" s="217"/>
      <c r="AN71" s="217"/>
      <c r="AO71" s="217"/>
      <c r="AP71" s="217"/>
      <c r="AQ71" s="217"/>
      <c r="AR71" s="217"/>
      <c r="AS71" s="217"/>
      <c r="AT71" s="355"/>
      <c r="AU71" s="217"/>
      <c r="AV71" s="217"/>
      <c r="AW71" s="217"/>
      <c r="AX71" s="217"/>
      <c r="AY71" s="217"/>
      <c r="AZ71" s="217"/>
      <c r="BA71" s="217"/>
      <c r="BB71" s="217"/>
      <c r="BC71" s="217"/>
      <c r="BD71" s="217"/>
      <c r="BE71" s="217"/>
      <c r="BF71" s="217"/>
      <c r="BG71" s="217"/>
      <c r="BH71" s="217"/>
    </row>
    <row r="72" spans="1:60">
      <c r="A72" s="254">
        <v>62</v>
      </c>
      <c r="B72" s="242"/>
      <c r="C72" s="243"/>
      <c r="D72" s="243"/>
      <c r="E72" s="357"/>
      <c r="F72" s="217"/>
      <c r="G72" s="217"/>
      <c r="H72" s="217"/>
      <c r="I72" s="217"/>
      <c r="J72" s="217"/>
      <c r="K72" s="217"/>
      <c r="L72" s="217"/>
      <c r="M72" s="217"/>
      <c r="N72" s="217"/>
      <c r="O72" s="217"/>
      <c r="P72" s="355"/>
      <c r="Q72" s="217"/>
      <c r="R72" s="217"/>
      <c r="S72" s="217"/>
      <c r="T72" s="217"/>
      <c r="U72" s="217"/>
      <c r="V72" s="217"/>
      <c r="W72" s="217"/>
      <c r="X72" s="217"/>
      <c r="Y72" s="217"/>
      <c r="Z72" s="217"/>
      <c r="AA72" s="217"/>
      <c r="AB72" s="217"/>
      <c r="AC72" s="217"/>
      <c r="AD72" s="217"/>
      <c r="AE72" s="355"/>
      <c r="AF72" s="217"/>
      <c r="AG72" s="217"/>
      <c r="AH72" s="217"/>
      <c r="AI72" s="217"/>
      <c r="AJ72" s="217"/>
      <c r="AK72" s="217"/>
      <c r="AL72" s="217"/>
      <c r="AM72" s="217"/>
      <c r="AN72" s="217"/>
      <c r="AO72" s="217"/>
      <c r="AP72" s="217"/>
      <c r="AQ72" s="217"/>
      <c r="AR72" s="217"/>
      <c r="AS72" s="217"/>
      <c r="AT72" s="355"/>
      <c r="AU72" s="217"/>
      <c r="AV72" s="217"/>
      <c r="AW72" s="217"/>
      <c r="AX72" s="217"/>
      <c r="AY72" s="217"/>
      <c r="AZ72" s="217"/>
      <c r="BA72" s="217"/>
      <c r="BB72" s="217"/>
      <c r="BC72" s="217"/>
      <c r="BD72" s="217"/>
      <c r="BE72" s="217"/>
      <c r="BF72" s="217"/>
      <c r="BG72" s="217"/>
      <c r="BH72" s="217"/>
    </row>
    <row r="73" spans="1:60">
      <c r="A73" s="254">
        <v>63</v>
      </c>
      <c r="B73" s="242"/>
      <c r="C73" s="243"/>
      <c r="D73" s="243"/>
      <c r="E73" s="357"/>
      <c r="F73" s="217"/>
      <c r="G73" s="217"/>
      <c r="H73" s="217"/>
      <c r="I73" s="217"/>
      <c r="J73" s="217"/>
      <c r="K73" s="217"/>
      <c r="L73" s="217"/>
      <c r="M73" s="217"/>
      <c r="N73" s="217"/>
      <c r="O73" s="217"/>
      <c r="P73" s="355"/>
      <c r="Q73" s="217"/>
      <c r="R73" s="217"/>
      <c r="S73" s="217"/>
      <c r="T73" s="217"/>
      <c r="U73" s="217"/>
      <c r="V73" s="217"/>
      <c r="W73" s="217"/>
      <c r="X73" s="217"/>
      <c r="Y73" s="217"/>
      <c r="Z73" s="217"/>
      <c r="AA73" s="217"/>
      <c r="AB73" s="217"/>
      <c r="AC73" s="217"/>
      <c r="AD73" s="217"/>
      <c r="AE73" s="355"/>
      <c r="AF73" s="217"/>
      <c r="AG73" s="217"/>
      <c r="AH73" s="217"/>
      <c r="AI73" s="217"/>
      <c r="AJ73" s="217"/>
      <c r="AK73" s="217"/>
      <c r="AL73" s="217"/>
      <c r="AM73" s="217"/>
      <c r="AN73" s="217"/>
      <c r="AO73" s="217"/>
      <c r="AP73" s="217"/>
      <c r="AQ73" s="217"/>
      <c r="AR73" s="217"/>
      <c r="AS73" s="217"/>
      <c r="AT73" s="355"/>
      <c r="AU73" s="217"/>
      <c r="AV73" s="217"/>
      <c r="AW73" s="217"/>
      <c r="AX73" s="217"/>
      <c r="AY73" s="217"/>
      <c r="AZ73" s="217"/>
      <c r="BA73" s="217"/>
      <c r="BB73" s="217"/>
      <c r="BC73" s="217"/>
      <c r="BD73" s="217"/>
      <c r="BE73" s="217"/>
      <c r="BF73" s="217"/>
      <c r="BG73" s="217"/>
      <c r="BH73" s="217"/>
    </row>
    <row r="74" spans="1:60">
      <c r="A74" s="254">
        <v>64</v>
      </c>
      <c r="B74" s="242"/>
      <c r="C74" s="243"/>
      <c r="D74" s="243"/>
      <c r="E74" s="357"/>
      <c r="F74" s="217"/>
      <c r="G74" s="217"/>
      <c r="H74" s="217"/>
      <c r="I74" s="217"/>
      <c r="J74" s="217"/>
      <c r="K74" s="217"/>
      <c r="L74" s="217"/>
      <c r="M74" s="217"/>
      <c r="N74" s="217"/>
      <c r="O74" s="217"/>
      <c r="P74" s="355"/>
      <c r="Q74" s="217"/>
      <c r="R74" s="217"/>
      <c r="S74" s="217"/>
      <c r="T74" s="217"/>
      <c r="U74" s="217"/>
      <c r="V74" s="217"/>
      <c r="W74" s="217"/>
      <c r="X74" s="217"/>
      <c r="Y74" s="217"/>
      <c r="Z74" s="217"/>
      <c r="AA74" s="217"/>
      <c r="AB74" s="217"/>
      <c r="AC74" s="217"/>
      <c r="AD74" s="217"/>
      <c r="AE74" s="355"/>
      <c r="AF74" s="217"/>
      <c r="AG74" s="217"/>
      <c r="AH74" s="217"/>
      <c r="AI74" s="217"/>
      <c r="AJ74" s="217"/>
      <c r="AK74" s="217"/>
      <c r="AL74" s="217"/>
      <c r="AM74" s="217"/>
      <c r="AN74" s="217"/>
      <c r="AO74" s="217"/>
      <c r="AP74" s="217"/>
      <c r="AQ74" s="217"/>
      <c r="AR74" s="217"/>
      <c r="AS74" s="217"/>
      <c r="AT74" s="355"/>
      <c r="AU74" s="217"/>
      <c r="AV74" s="217"/>
      <c r="AW74" s="217"/>
      <c r="AX74" s="217"/>
      <c r="AY74" s="217"/>
      <c r="AZ74" s="217"/>
      <c r="BA74" s="217"/>
      <c r="BB74" s="217"/>
      <c r="BC74" s="217"/>
      <c r="BD74" s="217"/>
      <c r="BE74" s="217"/>
      <c r="BF74" s="217"/>
      <c r="BG74" s="217"/>
      <c r="BH74" s="217"/>
    </row>
    <row r="75" spans="1:60">
      <c r="A75" s="254">
        <v>65</v>
      </c>
      <c r="B75" s="242"/>
      <c r="C75" s="243"/>
      <c r="D75" s="243"/>
      <c r="E75" s="357"/>
      <c r="F75" s="217"/>
      <c r="G75" s="217"/>
      <c r="H75" s="217"/>
      <c r="I75" s="217"/>
      <c r="J75" s="217"/>
      <c r="K75" s="217"/>
      <c r="L75" s="217"/>
      <c r="M75" s="217"/>
      <c r="N75" s="217"/>
      <c r="O75" s="217"/>
      <c r="P75" s="355"/>
      <c r="Q75" s="217"/>
      <c r="R75" s="217"/>
      <c r="S75" s="217"/>
      <c r="T75" s="217"/>
      <c r="U75" s="217"/>
      <c r="V75" s="217"/>
      <c r="W75" s="217"/>
      <c r="X75" s="217"/>
      <c r="Y75" s="217"/>
      <c r="Z75" s="217"/>
      <c r="AA75" s="217"/>
      <c r="AB75" s="217"/>
      <c r="AC75" s="217"/>
      <c r="AD75" s="217"/>
      <c r="AE75" s="355"/>
      <c r="AF75" s="217"/>
      <c r="AG75" s="217"/>
      <c r="AH75" s="217"/>
      <c r="AI75" s="217"/>
      <c r="AJ75" s="217"/>
      <c r="AK75" s="217"/>
      <c r="AL75" s="217"/>
      <c r="AM75" s="217"/>
      <c r="AN75" s="217"/>
      <c r="AO75" s="217"/>
      <c r="AP75" s="217"/>
      <c r="AQ75" s="217"/>
      <c r="AR75" s="217"/>
      <c r="AS75" s="217"/>
      <c r="AT75" s="355"/>
      <c r="AU75" s="217"/>
      <c r="AV75" s="217"/>
      <c r="AW75" s="217"/>
      <c r="AX75" s="217"/>
      <c r="AY75" s="217"/>
      <c r="AZ75" s="217"/>
      <c r="BA75" s="217"/>
      <c r="BB75" s="217"/>
      <c r="BC75" s="217"/>
      <c r="BD75" s="217"/>
      <c r="BE75" s="217"/>
      <c r="BF75" s="217"/>
      <c r="BG75" s="217"/>
      <c r="BH75" s="217"/>
    </row>
    <row r="76" spans="1:60">
      <c r="A76" s="254">
        <v>66</v>
      </c>
      <c r="B76" s="242"/>
      <c r="C76" s="243"/>
      <c r="D76" s="243"/>
      <c r="E76" s="357"/>
      <c r="F76" s="217"/>
      <c r="G76" s="217"/>
      <c r="H76" s="217"/>
      <c r="I76" s="217"/>
      <c r="J76" s="217"/>
      <c r="K76" s="217"/>
      <c r="L76" s="217"/>
      <c r="M76" s="217"/>
      <c r="N76" s="217"/>
      <c r="O76" s="217"/>
      <c r="P76" s="355"/>
      <c r="Q76" s="217"/>
      <c r="R76" s="217"/>
      <c r="S76" s="217"/>
      <c r="T76" s="217"/>
      <c r="U76" s="217"/>
      <c r="V76" s="217"/>
      <c r="W76" s="217"/>
      <c r="X76" s="217"/>
      <c r="Y76" s="217"/>
      <c r="Z76" s="217"/>
      <c r="AA76" s="217"/>
      <c r="AB76" s="217"/>
      <c r="AC76" s="217"/>
      <c r="AD76" s="217"/>
      <c r="AE76" s="355"/>
      <c r="AF76" s="217"/>
      <c r="AG76" s="217"/>
      <c r="AH76" s="217"/>
      <c r="AI76" s="217"/>
      <c r="AJ76" s="217"/>
      <c r="AK76" s="217"/>
      <c r="AL76" s="217"/>
      <c r="AM76" s="217"/>
      <c r="AN76" s="217"/>
      <c r="AO76" s="217"/>
      <c r="AP76" s="217"/>
      <c r="AQ76" s="217"/>
      <c r="AR76" s="217"/>
      <c r="AS76" s="217"/>
      <c r="AT76" s="355"/>
      <c r="AU76" s="217"/>
      <c r="AV76" s="217"/>
      <c r="AW76" s="217"/>
      <c r="AX76" s="217"/>
      <c r="AY76" s="217"/>
      <c r="AZ76" s="217"/>
      <c r="BA76" s="217"/>
      <c r="BB76" s="217"/>
      <c r="BC76" s="217"/>
      <c r="BD76" s="217"/>
      <c r="BE76" s="217"/>
      <c r="BF76" s="217"/>
      <c r="BG76" s="217"/>
      <c r="BH76" s="217"/>
    </row>
    <row r="77" spans="1:60">
      <c r="A77" s="254">
        <v>67</v>
      </c>
      <c r="B77" s="242"/>
      <c r="C77" s="243"/>
      <c r="D77" s="243"/>
      <c r="E77" s="357"/>
      <c r="F77" s="217"/>
      <c r="G77" s="217"/>
      <c r="H77" s="217"/>
      <c r="I77" s="217"/>
      <c r="J77" s="217"/>
      <c r="K77" s="217"/>
      <c r="L77" s="217"/>
      <c r="M77" s="217"/>
      <c r="N77" s="217"/>
      <c r="O77" s="217"/>
      <c r="P77" s="355"/>
      <c r="Q77" s="217"/>
      <c r="R77" s="217"/>
      <c r="S77" s="217"/>
      <c r="T77" s="217"/>
      <c r="U77" s="217"/>
      <c r="V77" s="217"/>
      <c r="W77" s="217"/>
      <c r="X77" s="217"/>
      <c r="Y77" s="217"/>
      <c r="Z77" s="217"/>
      <c r="AA77" s="217"/>
      <c r="AB77" s="217"/>
      <c r="AC77" s="217"/>
      <c r="AD77" s="217"/>
      <c r="AE77" s="355"/>
      <c r="AF77" s="217"/>
      <c r="AG77" s="217"/>
      <c r="AH77" s="217"/>
      <c r="AI77" s="217"/>
      <c r="AJ77" s="217"/>
      <c r="AK77" s="217"/>
      <c r="AL77" s="217"/>
      <c r="AM77" s="217"/>
      <c r="AN77" s="217"/>
      <c r="AO77" s="217"/>
      <c r="AP77" s="217"/>
      <c r="AQ77" s="217"/>
      <c r="AR77" s="217"/>
      <c r="AS77" s="217"/>
      <c r="AT77" s="355"/>
      <c r="AU77" s="217"/>
      <c r="AV77" s="217"/>
      <c r="AW77" s="217"/>
      <c r="AX77" s="217"/>
      <c r="AY77" s="217"/>
      <c r="AZ77" s="217"/>
      <c r="BA77" s="217"/>
      <c r="BB77" s="217"/>
      <c r="BC77" s="217"/>
      <c r="BD77" s="217"/>
      <c r="BE77" s="217"/>
      <c r="BF77" s="217"/>
      <c r="BG77" s="217"/>
      <c r="BH77" s="217"/>
    </row>
    <row r="78" spans="1:60">
      <c r="A78" s="254">
        <v>68</v>
      </c>
      <c r="B78" s="242"/>
      <c r="C78" s="243"/>
      <c r="D78" s="243"/>
      <c r="E78" s="357"/>
      <c r="F78" s="217"/>
      <c r="G78" s="217"/>
      <c r="H78" s="217"/>
      <c r="I78" s="217"/>
      <c r="J78" s="217"/>
      <c r="K78" s="217"/>
      <c r="L78" s="217"/>
      <c r="M78" s="217"/>
      <c r="N78" s="217"/>
      <c r="O78" s="217"/>
      <c r="P78" s="355"/>
      <c r="Q78" s="217"/>
      <c r="R78" s="217"/>
      <c r="S78" s="217"/>
      <c r="T78" s="217"/>
      <c r="U78" s="217"/>
      <c r="V78" s="217"/>
      <c r="W78" s="217"/>
      <c r="X78" s="217"/>
      <c r="Y78" s="217"/>
      <c r="Z78" s="217"/>
      <c r="AA78" s="217"/>
      <c r="AB78" s="217"/>
      <c r="AC78" s="217"/>
      <c r="AD78" s="217"/>
      <c r="AE78" s="355"/>
      <c r="AF78" s="217"/>
      <c r="AG78" s="217"/>
      <c r="AH78" s="217"/>
      <c r="AI78" s="217"/>
      <c r="AJ78" s="217"/>
      <c r="AK78" s="217"/>
      <c r="AL78" s="217"/>
      <c r="AM78" s="217"/>
      <c r="AN78" s="217"/>
      <c r="AO78" s="217"/>
      <c r="AP78" s="217"/>
      <c r="AQ78" s="217"/>
      <c r="AR78" s="217"/>
      <c r="AS78" s="217"/>
      <c r="AT78" s="355"/>
      <c r="AU78" s="217"/>
      <c r="AV78" s="217"/>
      <c r="AW78" s="217"/>
      <c r="AX78" s="217"/>
      <c r="AY78" s="217"/>
      <c r="AZ78" s="217"/>
      <c r="BA78" s="217"/>
      <c r="BB78" s="217"/>
      <c r="BC78" s="217"/>
      <c r="BD78" s="217"/>
      <c r="BE78" s="217"/>
      <c r="BF78" s="217"/>
      <c r="BG78" s="217"/>
      <c r="BH78" s="217"/>
    </row>
    <row r="79" spans="1:60">
      <c r="A79" s="254">
        <v>69</v>
      </c>
      <c r="B79" s="242"/>
      <c r="C79" s="243"/>
      <c r="D79" s="243"/>
      <c r="E79" s="357"/>
      <c r="F79" s="217"/>
      <c r="G79" s="217"/>
      <c r="H79" s="217"/>
      <c r="I79" s="217"/>
      <c r="J79" s="217"/>
      <c r="K79" s="217"/>
      <c r="L79" s="217"/>
      <c r="M79" s="217"/>
      <c r="N79" s="217"/>
      <c r="O79" s="217"/>
      <c r="P79" s="355"/>
      <c r="Q79" s="217"/>
      <c r="R79" s="217"/>
      <c r="S79" s="217"/>
      <c r="T79" s="217"/>
      <c r="U79" s="217"/>
      <c r="V79" s="217"/>
      <c r="W79" s="217"/>
      <c r="X79" s="217"/>
      <c r="Y79" s="217"/>
      <c r="Z79" s="217"/>
      <c r="AA79" s="217"/>
      <c r="AB79" s="217"/>
      <c r="AC79" s="217"/>
      <c r="AD79" s="217"/>
      <c r="AE79" s="355"/>
      <c r="AF79" s="217"/>
      <c r="AG79" s="217"/>
      <c r="AH79" s="217"/>
      <c r="AI79" s="217"/>
      <c r="AJ79" s="217"/>
      <c r="AK79" s="217"/>
      <c r="AL79" s="217"/>
      <c r="AM79" s="217"/>
      <c r="AN79" s="217"/>
      <c r="AO79" s="217"/>
      <c r="AP79" s="217"/>
      <c r="AQ79" s="217"/>
      <c r="AR79" s="217"/>
      <c r="AS79" s="217"/>
      <c r="AT79" s="355"/>
      <c r="AU79" s="217"/>
      <c r="AV79" s="217"/>
      <c r="AW79" s="217"/>
      <c r="AX79" s="217"/>
      <c r="AY79" s="217"/>
      <c r="AZ79" s="217"/>
      <c r="BA79" s="217"/>
      <c r="BB79" s="217"/>
      <c r="BC79" s="217"/>
      <c r="BD79" s="217"/>
      <c r="BE79" s="217"/>
      <c r="BF79" s="217"/>
      <c r="BG79" s="217"/>
      <c r="BH79" s="217"/>
    </row>
    <row r="80" spans="1:60">
      <c r="A80" s="254">
        <v>70</v>
      </c>
      <c r="B80" s="242"/>
      <c r="C80" s="243"/>
      <c r="D80" s="243"/>
      <c r="E80" s="357"/>
      <c r="F80" s="217"/>
      <c r="G80" s="217"/>
      <c r="H80" s="217"/>
      <c r="I80" s="217"/>
      <c r="J80" s="217"/>
      <c r="K80" s="217"/>
      <c r="L80" s="217"/>
      <c r="M80" s="217"/>
      <c r="N80" s="217"/>
      <c r="O80" s="217"/>
      <c r="P80" s="355"/>
      <c r="Q80" s="217"/>
      <c r="R80" s="217"/>
      <c r="S80" s="217"/>
      <c r="T80" s="217"/>
      <c r="U80" s="217"/>
      <c r="V80" s="217"/>
      <c r="W80" s="217"/>
      <c r="X80" s="217"/>
      <c r="Y80" s="217"/>
      <c r="Z80" s="217"/>
      <c r="AA80" s="217"/>
      <c r="AB80" s="217"/>
      <c r="AC80" s="217"/>
      <c r="AD80" s="217"/>
      <c r="AE80" s="355"/>
      <c r="AF80" s="217"/>
      <c r="AG80" s="217"/>
      <c r="AH80" s="217"/>
      <c r="AI80" s="217"/>
      <c r="AJ80" s="217"/>
      <c r="AK80" s="217"/>
      <c r="AL80" s="217"/>
      <c r="AM80" s="217"/>
      <c r="AN80" s="217"/>
      <c r="AO80" s="217"/>
      <c r="AP80" s="217"/>
      <c r="AQ80" s="217"/>
      <c r="AR80" s="217"/>
      <c r="AS80" s="217"/>
      <c r="AT80" s="355"/>
      <c r="AU80" s="217"/>
      <c r="AV80" s="217"/>
      <c r="AW80" s="217"/>
      <c r="AX80" s="217"/>
      <c r="AY80" s="217"/>
      <c r="AZ80" s="217"/>
      <c r="BA80" s="217"/>
      <c r="BB80" s="217"/>
      <c r="BC80" s="217"/>
      <c r="BD80" s="217"/>
      <c r="BE80" s="217"/>
      <c r="BF80" s="217"/>
      <c r="BG80" s="217"/>
      <c r="BH80" s="217"/>
    </row>
    <row r="81" spans="1:60">
      <c r="A81" s="254">
        <v>71</v>
      </c>
      <c r="B81" s="242"/>
      <c r="C81" s="243"/>
      <c r="D81" s="243"/>
      <c r="E81" s="357"/>
      <c r="F81" s="217"/>
      <c r="G81" s="217"/>
      <c r="H81" s="217"/>
      <c r="I81" s="217"/>
      <c r="J81" s="217"/>
      <c r="K81" s="217"/>
      <c r="L81" s="217"/>
      <c r="M81" s="217"/>
      <c r="N81" s="217"/>
      <c r="O81" s="217"/>
      <c r="P81" s="355"/>
      <c r="Q81" s="217"/>
      <c r="R81" s="217"/>
      <c r="S81" s="217"/>
      <c r="T81" s="217"/>
      <c r="U81" s="217"/>
      <c r="V81" s="217"/>
      <c r="W81" s="217"/>
      <c r="X81" s="217"/>
      <c r="Y81" s="217"/>
      <c r="Z81" s="217"/>
      <c r="AA81" s="217"/>
      <c r="AB81" s="217"/>
      <c r="AC81" s="217"/>
      <c r="AD81" s="217"/>
      <c r="AE81" s="355"/>
      <c r="AF81" s="217"/>
      <c r="AG81" s="217"/>
      <c r="AH81" s="217"/>
      <c r="AI81" s="217"/>
      <c r="AJ81" s="217"/>
      <c r="AK81" s="217"/>
      <c r="AL81" s="217"/>
      <c r="AM81" s="217"/>
      <c r="AN81" s="217"/>
      <c r="AO81" s="217"/>
      <c r="AP81" s="217"/>
      <c r="AQ81" s="217"/>
      <c r="AR81" s="217"/>
      <c r="AS81" s="217"/>
      <c r="AT81" s="355"/>
      <c r="AU81" s="217"/>
      <c r="AV81" s="217"/>
      <c r="AW81" s="217"/>
      <c r="AX81" s="217"/>
      <c r="AY81" s="217"/>
      <c r="AZ81" s="217"/>
      <c r="BA81" s="217"/>
      <c r="BB81" s="217"/>
      <c r="BC81" s="217"/>
      <c r="BD81" s="217"/>
      <c r="BE81" s="217"/>
      <c r="BF81" s="217"/>
      <c r="BG81" s="217"/>
      <c r="BH81" s="217"/>
    </row>
    <row r="82" spans="1:60">
      <c r="A82" s="254">
        <v>72</v>
      </c>
      <c r="B82" s="242"/>
      <c r="C82" s="243"/>
      <c r="D82" s="243"/>
      <c r="E82" s="357"/>
      <c r="F82" s="217"/>
      <c r="G82" s="217"/>
      <c r="H82" s="217"/>
      <c r="I82" s="217"/>
      <c r="J82" s="217"/>
      <c r="K82" s="217"/>
      <c r="L82" s="217"/>
      <c r="M82" s="217"/>
      <c r="N82" s="217"/>
      <c r="O82" s="217"/>
      <c r="P82" s="355"/>
      <c r="Q82" s="217"/>
      <c r="R82" s="217"/>
      <c r="S82" s="217"/>
      <c r="T82" s="217"/>
      <c r="U82" s="217"/>
      <c r="V82" s="217"/>
      <c r="W82" s="217"/>
      <c r="X82" s="217"/>
      <c r="Y82" s="217"/>
      <c r="Z82" s="217"/>
      <c r="AA82" s="217"/>
      <c r="AB82" s="217"/>
      <c r="AC82" s="217"/>
      <c r="AD82" s="217"/>
      <c r="AE82" s="355"/>
      <c r="AF82" s="217"/>
      <c r="AG82" s="217"/>
      <c r="AH82" s="217"/>
      <c r="AI82" s="217"/>
      <c r="AJ82" s="217"/>
      <c r="AK82" s="217"/>
      <c r="AL82" s="217"/>
      <c r="AM82" s="217"/>
      <c r="AN82" s="217"/>
      <c r="AO82" s="217"/>
      <c r="AP82" s="217"/>
      <c r="AQ82" s="217"/>
      <c r="AR82" s="217"/>
      <c r="AS82" s="217"/>
      <c r="AT82" s="355"/>
      <c r="AU82" s="217"/>
      <c r="AV82" s="217"/>
      <c r="AW82" s="217"/>
      <c r="AX82" s="217"/>
      <c r="AY82" s="217"/>
      <c r="AZ82" s="217"/>
      <c r="BA82" s="217"/>
      <c r="BB82" s="217"/>
      <c r="BC82" s="217"/>
      <c r="BD82" s="217"/>
      <c r="BE82" s="217"/>
      <c r="BF82" s="217"/>
      <c r="BG82" s="217"/>
      <c r="BH82" s="217"/>
    </row>
    <row r="83" spans="1:60">
      <c r="A83" s="254">
        <v>73</v>
      </c>
      <c r="B83" s="242"/>
      <c r="C83" s="243"/>
      <c r="D83" s="243"/>
      <c r="E83" s="357"/>
      <c r="F83" s="217"/>
      <c r="G83" s="217"/>
      <c r="H83" s="217"/>
      <c r="I83" s="217"/>
      <c r="J83" s="217"/>
      <c r="K83" s="217"/>
      <c r="L83" s="217"/>
      <c r="M83" s="217"/>
      <c r="N83" s="217"/>
      <c r="O83" s="217"/>
      <c r="P83" s="355"/>
      <c r="Q83" s="217"/>
      <c r="R83" s="217"/>
      <c r="S83" s="217"/>
      <c r="T83" s="217"/>
      <c r="U83" s="217"/>
      <c r="V83" s="217"/>
      <c r="W83" s="217"/>
      <c r="X83" s="217"/>
      <c r="Y83" s="217"/>
      <c r="Z83" s="217"/>
      <c r="AA83" s="217"/>
      <c r="AB83" s="217"/>
      <c r="AC83" s="217"/>
      <c r="AD83" s="217"/>
      <c r="AE83" s="355"/>
      <c r="AF83" s="217"/>
      <c r="AG83" s="217"/>
      <c r="AH83" s="217"/>
      <c r="AI83" s="217"/>
      <c r="AJ83" s="217"/>
      <c r="AK83" s="217"/>
      <c r="AL83" s="217"/>
      <c r="AM83" s="217"/>
      <c r="AN83" s="217"/>
      <c r="AO83" s="217"/>
      <c r="AP83" s="217"/>
      <c r="AQ83" s="217"/>
      <c r="AR83" s="217"/>
      <c r="AS83" s="217"/>
      <c r="AT83" s="355"/>
      <c r="AU83" s="217"/>
      <c r="AV83" s="217"/>
      <c r="AW83" s="217"/>
      <c r="AX83" s="217"/>
      <c r="AY83" s="217"/>
      <c r="AZ83" s="217"/>
      <c r="BA83" s="217"/>
      <c r="BB83" s="217"/>
      <c r="BC83" s="217"/>
      <c r="BD83" s="217"/>
      <c r="BE83" s="217"/>
      <c r="BF83" s="217"/>
      <c r="BG83" s="217"/>
      <c r="BH83" s="217"/>
    </row>
    <row r="84" spans="1:60">
      <c r="A84" s="254">
        <v>74</v>
      </c>
      <c r="B84" s="242"/>
      <c r="C84" s="243"/>
      <c r="D84" s="243"/>
      <c r="E84" s="357"/>
      <c r="F84" s="217"/>
      <c r="G84" s="217"/>
      <c r="H84" s="217"/>
      <c r="I84" s="217"/>
      <c r="J84" s="217"/>
      <c r="K84" s="217"/>
      <c r="L84" s="217"/>
      <c r="M84" s="217"/>
      <c r="N84" s="217"/>
      <c r="O84" s="217"/>
      <c r="P84" s="355"/>
      <c r="Q84" s="217"/>
      <c r="R84" s="217"/>
      <c r="S84" s="217"/>
      <c r="T84" s="217"/>
      <c r="U84" s="217"/>
      <c r="V84" s="217"/>
      <c r="W84" s="217"/>
      <c r="X84" s="217"/>
      <c r="Y84" s="217"/>
      <c r="Z84" s="217"/>
      <c r="AA84" s="217"/>
      <c r="AB84" s="217"/>
      <c r="AC84" s="217"/>
      <c r="AD84" s="217"/>
      <c r="AE84" s="355"/>
      <c r="AF84" s="217"/>
      <c r="AG84" s="217"/>
      <c r="AH84" s="217"/>
      <c r="AI84" s="217"/>
      <c r="AJ84" s="217"/>
      <c r="AK84" s="217"/>
      <c r="AL84" s="217"/>
      <c r="AM84" s="217"/>
      <c r="AN84" s="217"/>
      <c r="AO84" s="217"/>
      <c r="AP84" s="217"/>
      <c r="AQ84" s="217"/>
      <c r="AR84" s="217"/>
      <c r="AS84" s="217"/>
      <c r="AT84" s="355"/>
      <c r="AU84" s="217"/>
      <c r="AV84" s="217"/>
      <c r="AW84" s="217"/>
      <c r="AX84" s="217"/>
      <c r="AY84" s="217"/>
      <c r="AZ84" s="217"/>
      <c r="BA84" s="217"/>
      <c r="BB84" s="217"/>
      <c r="BC84" s="217"/>
      <c r="BD84" s="217"/>
      <c r="BE84" s="217"/>
      <c r="BF84" s="217"/>
      <c r="BG84" s="217"/>
      <c r="BH84" s="217"/>
    </row>
    <row r="85" spans="1:60">
      <c r="A85" s="254">
        <v>75</v>
      </c>
      <c r="B85" s="242"/>
      <c r="C85" s="243"/>
      <c r="D85" s="243"/>
      <c r="E85" s="357"/>
      <c r="F85" s="217"/>
      <c r="G85" s="217"/>
      <c r="H85" s="217"/>
      <c r="I85" s="217"/>
      <c r="J85" s="217"/>
      <c r="K85" s="217"/>
      <c r="L85" s="217"/>
      <c r="M85" s="217"/>
      <c r="N85" s="217"/>
      <c r="O85" s="217"/>
      <c r="P85" s="355"/>
      <c r="Q85" s="217"/>
      <c r="R85" s="217"/>
      <c r="S85" s="217"/>
      <c r="T85" s="217"/>
      <c r="U85" s="217"/>
      <c r="V85" s="217"/>
      <c r="W85" s="217"/>
      <c r="X85" s="217"/>
      <c r="Y85" s="217"/>
      <c r="Z85" s="217"/>
      <c r="AA85" s="217"/>
      <c r="AB85" s="217"/>
      <c r="AC85" s="217"/>
      <c r="AD85" s="217"/>
      <c r="AE85" s="355"/>
      <c r="AF85" s="217"/>
      <c r="AG85" s="217"/>
      <c r="AH85" s="217"/>
      <c r="AI85" s="217"/>
      <c r="AJ85" s="217"/>
      <c r="AK85" s="217"/>
      <c r="AL85" s="217"/>
      <c r="AM85" s="217"/>
      <c r="AN85" s="217"/>
      <c r="AO85" s="217"/>
      <c r="AP85" s="217"/>
      <c r="AQ85" s="217"/>
      <c r="AR85" s="217"/>
      <c r="AS85" s="217"/>
      <c r="AT85" s="355"/>
      <c r="AU85" s="217"/>
      <c r="AV85" s="217"/>
      <c r="AW85" s="217"/>
      <c r="AX85" s="217"/>
      <c r="AY85" s="217"/>
      <c r="AZ85" s="217"/>
      <c r="BA85" s="217"/>
      <c r="BB85" s="217"/>
      <c r="BC85" s="217"/>
      <c r="BD85" s="217"/>
      <c r="BE85" s="217"/>
      <c r="BF85" s="217"/>
      <c r="BG85" s="217"/>
      <c r="BH85" s="217"/>
    </row>
    <row r="86" spans="1:60">
      <c r="A86" s="254">
        <v>76</v>
      </c>
      <c r="B86" s="242"/>
      <c r="C86" s="243"/>
      <c r="D86" s="243"/>
      <c r="E86" s="357"/>
      <c r="F86" s="217"/>
      <c r="G86" s="217"/>
      <c r="H86" s="217"/>
      <c r="I86" s="217"/>
      <c r="J86" s="217"/>
      <c r="K86" s="217"/>
      <c r="L86" s="217"/>
      <c r="M86" s="217"/>
      <c r="N86" s="217"/>
      <c r="O86" s="217"/>
      <c r="P86" s="355"/>
      <c r="Q86" s="217"/>
      <c r="R86" s="217"/>
      <c r="S86" s="217"/>
      <c r="T86" s="217"/>
      <c r="U86" s="217"/>
      <c r="V86" s="217"/>
      <c r="W86" s="217"/>
      <c r="X86" s="217"/>
      <c r="Y86" s="217"/>
      <c r="Z86" s="217"/>
      <c r="AA86" s="217"/>
      <c r="AB86" s="217"/>
      <c r="AC86" s="217"/>
      <c r="AD86" s="217"/>
      <c r="AE86" s="355"/>
      <c r="AF86" s="217"/>
      <c r="AG86" s="217"/>
      <c r="AH86" s="217"/>
      <c r="AI86" s="217"/>
      <c r="AJ86" s="217"/>
      <c r="AK86" s="217"/>
      <c r="AL86" s="217"/>
      <c r="AM86" s="217"/>
      <c r="AN86" s="217"/>
      <c r="AO86" s="217"/>
      <c r="AP86" s="217"/>
      <c r="AQ86" s="217"/>
      <c r="AR86" s="217"/>
      <c r="AS86" s="217"/>
      <c r="AT86" s="355"/>
      <c r="AU86" s="217"/>
      <c r="AV86" s="217"/>
      <c r="AW86" s="217"/>
      <c r="AX86" s="217"/>
      <c r="AY86" s="217"/>
      <c r="AZ86" s="217"/>
      <c r="BA86" s="217"/>
      <c r="BB86" s="217"/>
      <c r="BC86" s="217"/>
      <c r="BD86" s="217"/>
      <c r="BE86" s="217"/>
      <c r="BF86" s="217"/>
      <c r="BG86" s="217"/>
      <c r="BH86" s="217"/>
    </row>
    <row r="87" spans="1:60">
      <c r="A87" s="254">
        <v>77</v>
      </c>
      <c r="B87" s="242"/>
      <c r="C87" s="243"/>
      <c r="D87" s="243"/>
      <c r="E87" s="357"/>
      <c r="F87" s="217"/>
      <c r="G87" s="217"/>
      <c r="H87" s="217"/>
      <c r="I87" s="217"/>
      <c r="J87" s="217"/>
      <c r="K87" s="217"/>
      <c r="L87" s="217"/>
      <c r="M87" s="217"/>
      <c r="N87" s="217"/>
      <c r="O87" s="217"/>
      <c r="P87" s="355"/>
      <c r="Q87" s="217"/>
      <c r="R87" s="217"/>
      <c r="S87" s="217"/>
      <c r="T87" s="217"/>
      <c r="U87" s="217"/>
      <c r="V87" s="217"/>
      <c r="W87" s="217"/>
      <c r="X87" s="217"/>
      <c r="Y87" s="217"/>
      <c r="Z87" s="217"/>
      <c r="AA87" s="217"/>
      <c r="AB87" s="217"/>
      <c r="AC87" s="217"/>
      <c r="AD87" s="217"/>
      <c r="AE87" s="355"/>
      <c r="AF87" s="217"/>
      <c r="AG87" s="217"/>
      <c r="AH87" s="217"/>
      <c r="AI87" s="217"/>
      <c r="AJ87" s="217"/>
      <c r="AK87" s="217"/>
      <c r="AL87" s="217"/>
      <c r="AM87" s="217"/>
      <c r="AN87" s="217"/>
      <c r="AO87" s="217"/>
      <c r="AP87" s="217"/>
      <c r="AQ87" s="217"/>
      <c r="AR87" s="217"/>
      <c r="AS87" s="217"/>
      <c r="AT87" s="355"/>
      <c r="AU87" s="217"/>
      <c r="AV87" s="217"/>
      <c r="AW87" s="217"/>
      <c r="AX87" s="217"/>
      <c r="AY87" s="217"/>
      <c r="AZ87" s="217"/>
      <c r="BA87" s="217"/>
      <c r="BB87" s="217"/>
      <c r="BC87" s="217"/>
      <c r="BD87" s="217"/>
      <c r="BE87" s="217"/>
      <c r="BF87" s="217"/>
      <c r="BG87" s="217"/>
      <c r="BH87" s="217"/>
    </row>
    <row r="88" spans="1:60">
      <c r="A88" s="254">
        <v>78</v>
      </c>
      <c r="B88" s="242"/>
      <c r="C88" s="243"/>
      <c r="D88" s="243"/>
      <c r="E88" s="357"/>
      <c r="F88" s="217"/>
      <c r="G88" s="217"/>
      <c r="H88" s="217"/>
      <c r="I88" s="217"/>
      <c r="J88" s="217"/>
      <c r="K88" s="217"/>
      <c r="L88" s="217"/>
      <c r="M88" s="217"/>
      <c r="N88" s="217"/>
      <c r="O88" s="217"/>
      <c r="P88" s="355"/>
      <c r="Q88" s="217"/>
      <c r="R88" s="217"/>
      <c r="S88" s="217"/>
      <c r="T88" s="217"/>
      <c r="U88" s="217"/>
      <c r="V88" s="217"/>
      <c r="W88" s="217"/>
      <c r="X88" s="217"/>
      <c r="Y88" s="217"/>
      <c r="Z88" s="217"/>
      <c r="AA88" s="217"/>
      <c r="AB88" s="217"/>
      <c r="AC88" s="217"/>
      <c r="AD88" s="217"/>
      <c r="AE88" s="355"/>
      <c r="AF88" s="217"/>
      <c r="AG88" s="217"/>
      <c r="AH88" s="217"/>
      <c r="AI88" s="217"/>
      <c r="AJ88" s="217"/>
      <c r="AK88" s="217"/>
      <c r="AL88" s="217"/>
      <c r="AM88" s="217"/>
      <c r="AN88" s="217"/>
      <c r="AO88" s="217"/>
      <c r="AP88" s="217"/>
      <c r="AQ88" s="217"/>
      <c r="AR88" s="217"/>
      <c r="AS88" s="217"/>
      <c r="AT88" s="355"/>
      <c r="AU88" s="217"/>
      <c r="AV88" s="217"/>
      <c r="AW88" s="217"/>
      <c r="AX88" s="217"/>
      <c r="AY88" s="217"/>
      <c r="AZ88" s="217"/>
      <c r="BA88" s="217"/>
      <c r="BB88" s="217"/>
      <c r="BC88" s="217"/>
      <c r="BD88" s="217"/>
      <c r="BE88" s="217"/>
      <c r="BF88" s="217"/>
      <c r="BG88" s="217"/>
      <c r="BH88" s="217"/>
    </row>
    <row r="89" spans="1:60">
      <c r="A89" s="254">
        <v>79</v>
      </c>
      <c r="B89" s="242"/>
      <c r="C89" s="243"/>
      <c r="D89" s="243"/>
      <c r="E89" s="357"/>
      <c r="F89" s="217"/>
      <c r="G89" s="217"/>
      <c r="H89" s="217"/>
      <c r="I89" s="217"/>
      <c r="J89" s="217"/>
      <c r="K89" s="217"/>
      <c r="L89" s="217"/>
      <c r="M89" s="217"/>
      <c r="N89" s="217"/>
      <c r="O89" s="217"/>
      <c r="P89" s="355"/>
      <c r="Q89" s="217"/>
      <c r="R89" s="217"/>
      <c r="S89" s="217"/>
      <c r="T89" s="217"/>
      <c r="U89" s="217"/>
      <c r="V89" s="217"/>
      <c r="W89" s="217"/>
      <c r="X89" s="217"/>
      <c r="Y89" s="217"/>
      <c r="Z89" s="217"/>
      <c r="AA89" s="217"/>
      <c r="AB89" s="217"/>
      <c r="AC89" s="217"/>
      <c r="AD89" s="217"/>
      <c r="AE89" s="355"/>
      <c r="AF89" s="217"/>
      <c r="AG89" s="217"/>
      <c r="AH89" s="217"/>
      <c r="AI89" s="217"/>
      <c r="AJ89" s="217"/>
      <c r="AK89" s="217"/>
      <c r="AL89" s="217"/>
      <c r="AM89" s="217"/>
      <c r="AN89" s="217"/>
      <c r="AO89" s="217"/>
      <c r="AP89" s="217"/>
      <c r="AQ89" s="217"/>
      <c r="AR89" s="217"/>
      <c r="AS89" s="217"/>
      <c r="AT89" s="355"/>
      <c r="AU89" s="217"/>
      <c r="AV89" s="217"/>
      <c r="AW89" s="217"/>
      <c r="AX89" s="217"/>
      <c r="AY89" s="217"/>
      <c r="AZ89" s="217"/>
      <c r="BA89" s="217"/>
      <c r="BB89" s="217"/>
      <c r="BC89" s="217"/>
      <c r="BD89" s="217"/>
      <c r="BE89" s="217"/>
      <c r="BF89" s="217"/>
      <c r="BG89" s="217"/>
      <c r="BH89" s="217"/>
    </row>
    <row r="90" spans="1:60">
      <c r="A90" s="254">
        <v>80</v>
      </c>
      <c r="B90" s="242"/>
      <c r="C90" s="243"/>
      <c r="D90" s="243"/>
      <c r="E90" s="357"/>
      <c r="F90" s="217"/>
      <c r="G90" s="217"/>
      <c r="H90" s="217"/>
      <c r="I90" s="217"/>
      <c r="J90" s="217"/>
      <c r="K90" s="217"/>
      <c r="L90" s="217"/>
      <c r="M90" s="217"/>
      <c r="N90" s="217"/>
      <c r="O90" s="217"/>
      <c r="P90" s="355"/>
      <c r="Q90" s="217"/>
      <c r="R90" s="217"/>
      <c r="S90" s="217"/>
      <c r="T90" s="217"/>
      <c r="U90" s="217"/>
      <c r="V90" s="217"/>
      <c r="W90" s="217"/>
      <c r="X90" s="217"/>
      <c r="Y90" s="217"/>
      <c r="Z90" s="217"/>
      <c r="AA90" s="217"/>
      <c r="AB90" s="217"/>
      <c r="AC90" s="217"/>
      <c r="AD90" s="217"/>
      <c r="AE90" s="355"/>
      <c r="AF90" s="217"/>
      <c r="AG90" s="217"/>
      <c r="AH90" s="217"/>
      <c r="AI90" s="217"/>
      <c r="AJ90" s="217"/>
      <c r="AK90" s="217"/>
      <c r="AL90" s="217"/>
      <c r="AM90" s="217"/>
      <c r="AN90" s="217"/>
      <c r="AO90" s="217"/>
      <c r="AP90" s="217"/>
      <c r="AQ90" s="217"/>
      <c r="AR90" s="217"/>
      <c r="AS90" s="217"/>
      <c r="AT90" s="355"/>
      <c r="AU90" s="217"/>
      <c r="AV90" s="217"/>
      <c r="AW90" s="217"/>
      <c r="AX90" s="217"/>
      <c r="AY90" s="217"/>
      <c r="AZ90" s="217"/>
      <c r="BA90" s="217"/>
      <c r="BB90" s="217"/>
      <c r="BC90" s="217"/>
      <c r="BD90" s="217"/>
      <c r="BE90" s="217"/>
      <c r="BF90" s="217"/>
      <c r="BG90" s="217"/>
      <c r="BH90" s="217"/>
    </row>
    <row r="91" spans="1:60">
      <c r="A91" s="254">
        <v>81</v>
      </c>
      <c r="B91" s="242"/>
      <c r="C91" s="243"/>
      <c r="D91" s="243"/>
      <c r="E91" s="357"/>
      <c r="F91" s="217"/>
      <c r="G91" s="217"/>
      <c r="H91" s="217"/>
      <c r="I91" s="217"/>
      <c r="J91" s="217"/>
      <c r="K91" s="217"/>
      <c r="L91" s="217"/>
      <c r="M91" s="217"/>
      <c r="N91" s="217"/>
      <c r="O91" s="217"/>
      <c r="P91" s="355"/>
      <c r="Q91" s="217"/>
      <c r="R91" s="217"/>
      <c r="S91" s="217"/>
      <c r="T91" s="217"/>
      <c r="U91" s="217"/>
      <c r="V91" s="217"/>
      <c r="W91" s="217"/>
      <c r="X91" s="217"/>
      <c r="Y91" s="217"/>
      <c r="Z91" s="217"/>
      <c r="AA91" s="217"/>
      <c r="AB91" s="217"/>
      <c r="AC91" s="217"/>
      <c r="AD91" s="217"/>
      <c r="AE91" s="355"/>
      <c r="AF91" s="217"/>
      <c r="AG91" s="217"/>
      <c r="AH91" s="217"/>
      <c r="AI91" s="217"/>
      <c r="AJ91" s="217"/>
      <c r="AK91" s="217"/>
      <c r="AL91" s="217"/>
      <c r="AM91" s="217"/>
      <c r="AN91" s="217"/>
      <c r="AO91" s="217"/>
      <c r="AP91" s="217"/>
      <c r="AQ91" s="217"/>
      <c r="AR91" s="217"/>
      <c r="AS91" s="217"/>
      <c r="AT91" s="355"/>
      <c r="AU91" s="217"/>
      <c r="AV91" s="217"/>
      <c r="AW91" s="217"/>
      <c r="AX91" s="217"/>
      <c r="AY91" s="217"/>
      <c r="AZ91" s="217"/>
      <c r="BA91" s="217"/>
      <c r="BB91" s="217"/>
      <c r="BC91" s="217"/>
      <c r="BD91" s="217"/>
      <c r="BE91" s="217"/>
      <c r="BF91" s="217"/>
      <c r="BG91" s="217"/>
      <c r="BH91" s="217"/>
    </row>
    <row r="92" spans="1:60">
      <c r="A92" s="254">
        <v>82</v>
      </c>
      <c r="B92" s="242"/>
      <c r="C92" s="243"/>
      <c r="D92" s="243"/>
      <c r="E92" s="357"/>
      <c r="F92" s="217"/>
      <c r="G92" s="217"/>
      <c r="H92" s="217"/>
      <c r="I92" s="217"/>
      <c r="J92" s="217"/>
      <c r="K92" s="217"/>
      <c r="L92" s="217"/>
      <c r="M92" s="217"/>
      <c r="N92" s="217"/>
      <c r="O92" s="217"/>
      <c r="P92" s="355"/>
      <c r="Q92" s="217"/>
      <c r="R92" s="217"/>
      <c r="S92" s="217"/>
      <c r="T92" s="217"/>
      <c r="U92" s="217"/>
      <c r="V92" s="217"/>
      <c r="W92" s="217"/>
      <c r="X92" s="217"/>
      <c r="Y92" s="217"/>
      <c r="Z92" s="217"/>
      <c r="AA92" s="217"/>
      <c r="AB92" s="217"/>
      <c r="AC92" s="217"/>
      <c r="AD92" s="217"/>
      <c r="AE92" s="355"/>
      <c r="AF92" s="217"/>
      <c r="AG92" s="217"/>
      <c r="AH92" s="217"/>
      <c r="AI92" s="217"/>
      <c r="AJ92" s="217"/>
      <c r="AK92" s="217"/>
      <c r="AL92" s="217"/>
      <c r="AM92" s="217"/>
      <c r="AN92" s="217"/>
      <c r="AO92" s="217"/>
      <c r="AP92" s="217"/>
      <c r="AQ92" s="217"/>
      <c r="AR92" s="217"/>
      <c r="AS92" s="217"/>
      <c r="AT92" s="355"/>
      <c r="AU92" s="217"/>
      <c r="AV92" s="217"/>
      <c r="AW92" s="217"/>
      <c r="AX92" s="217"/>
      <c r="AY92" s="217"/>
      <c r="AZ92" s="217"/>
      <c r="BA92" s="217"/>
      <c r="BB92" s="217"/>
      <c r="BC92" s="217"/>
      <c r="BD92" s="217"/>
      <c r="BE92" s="217"/>
      <c r="BF92" s="217"/>
      <c r="BG92" s="217"/>
      <c r="BH92" s="217"/>
    </row>
    <row r="93" spans="1:60">
      <c r="A93" s="254">
        <v>83</v>
      </c>
      <c r="B93" s="242"/>
      <c r="C93" s="243"/>
      <c r="D93" s="243"/>
      <c r="E93" s="357"/>
      <c r="F93" s="217"/>
      <c r="G93" s="217"/>
      <c r="H93" s="217"/>
      <c r="I93" s="217"/>
      <c r="J93" s="217"/>
      <c r="K93" s="217"/>
      <c r="L93" s="217"/>
      <c r="M93" s="217"/>
      <c r="N93" s="217"/>
      <c r="O93" s="217"/>
      <c r="P93" s="355"/>
      <c r="Q93" s="217"/>
      <c r="R93" s="217"/>
      <c r="S93" s="217"/>
      <c r="T93" s="217"/>
      <c r="U93" s="217"/>
      <c r="V93" s="217"/>
      <c r="W93" s="217"/>
      <c r="X93" s="217"/>
      <c r="Y93" s="217"/>
      <c r="Z93" s="217"/>
      <c r="AA93" s="217"/>
      <c r="AB93" s="217"/>
      <c r="AC93" s="217"/>
      <c r="AD93" s="217"/>
      <c r="AE93" s="355"/>
      <c r="AF93" s="217"/>
      <c r="AG93" s="217"/>
      <c r="AH93" s="217"/>
      <c r="AI93" s="217"/>
      <c r="AJ93" s="217"/>
      <c r="AK93" s="217"/>
      <c r="AL93" s="217"/>
      <c r="AM93" s="217"/>
      <c r="AN93" s="217"/>
      <c r="AO93" s="217"/>
      <c r="AP93" s="217"/>
      <c r="AQ93" s="217"/>
      <c r="AR93" s="217"/>
      <c r="AS93" s="217"/>
      <c r="AT93" s="355"/>
      <c r="AU93" s="217"/>
      <c r="AV93" s="217"/>
      <c r="AW93" s="217"/>
      <c r="AX93" s="217"/>
      <c r="AY93" s="217"/>
      <c r="AZ93" s="217"/>
      <c r="BA93" s="217"/>
      <c r="BB93" s="217"/>
      <c r="BC93" s="217"/>
      <c r="BD93" s="217"/>
      <c r="BE93" s="217"/>
      <c r="BF93" s="217"/>
      <c r="BG93" s="217"/>
      <c r="BH93" s="217"/>
    </row>
    <row r="94" spans="1:60">
      <c r="A94" s="254">
        <v>84</v>
      </c>
      <c r="B94" s="242"/>
      <c r="C94" s="243"/>
      <c r="D94" s="243"/>
      <c r="E94" s="357"/>
      <c r="F94" s="217"/>
      <c r="G94" s="217"/>
      <c r="H94" s="217"/>
      <c r="I94" s="217"/>
      <c r="J94" s="217"/>
      <c r="K94" s="217"/>
      <c r="L94" s="217"/>
      <c r="M94" s="217"/>
      <c r="N94" s="217"/>
      <c r="O94" s="217"/>
      <c r="P94" s="355"/>
      <c r="Q94" s="217"/>
      <c r="R94" s="217"/>
      <c r="S94" s="217"/>
      <c r="T94" s="217"/>
      <c r="U94" s="217"/>
      <c r="V94" s="217"/>
      <c r="W94" s="217"/>
      <c r="X94" s="217"/>
      <c r="Y94" s="217"/>
      <c r="Z94" s="217"/>
      <c r="AA94" s="217"/>
      <c r="AB94" s="217"/>
      <c r="AC94" s="217"/>
      <c r="AD94" s="217"/>
      <c r="AE94" s="355"/>
      <c r="AF94" s="217"/>
      <c r="AG94" s="217"/>
      <c r="AH94" s="217"/>
      <c r="AI94" s="217"/>
      <c r="AJ94" s="217"/>
      <c r="AK94" s="217"/>
      <c r="AL94" s="217"/>
      <c r="AM94" s="217"/>
      <c r="AN94" s="217"/>
      <c r="AO94" s="217"/>
      <c r="AP94" s="217"/>
      <c r="AQ94" s="217"/>
      <c r="AR94" s="217"/>
      <c r="AS94" s="217"/>
      <c r="AT94" s="355"/>
      <c r="AU94" s="217"/>
      <c r="AV94" s="217"/>
      <c r="AW94" s="217"/>
      <c r="AX94" s="217"/>
      <c r="AY94" s="217"/>
      <c r="AZ94" s="217"/>
      <c r="BA94" s="217"/>
      <c r="BB94" s="217"/>
      <c r="BC94" s="217"/>
      <c r="BD94" s="217"/>
      <c r="BE94" s="217"/>
      <c r="BF94" s="217"/>
      <c r="BG94" s="217"/>
      <c r="BH94" s="217"/>
    </row>
    <row r="95" spans="1:60">
      <c r="A95" s="254">
        <v>85</v>
      </c>
      <c r="B95" s="242"/>
      <c r="C95" s="243"/>
      <c r="D95" s="243"/>
      <c r="E95" s="357"/>
      <c r="F95" s="217"/>
      <c r="G95" s="217"/>
      <c r="H95" s="217"/>
      <c r="I95" s="217"/>
      <c r="J95" s="217"/>
      <c r="K95" s="217"/>
      <c r="L95" s="217"/>
      <c r="M95" s="217"/>
      <c r="N95" s="217"/>
      <c r="O95" s="217"/>
      <c r="P95" s="355"/>
      <c r="Q95" s="217"/>
      <c r="R95" s="217"/>
      <c r="S95" s="217"/>
      <c r="T95" s="217"/>
      <c r="U95" s="217"/>
      <c r="V95" s="217"/>
      <c r="W95" s="217"/>
      <c r="X95" s="217"/>
      <c r="Y95" s="217"/>
      <c r="Z95" s="217"/>
      <c r="AA95" s="217"/>
      <c r="AB95" s="217"/>
      <c r="AC95" s="217"/>
      <c r="AD95" s="217"/>
      <c r="AE95" s="355"/>
      <c r="AF95" s="217"/>
      <c r="AG95" s="217"/>
      <c r="AH95" s="217"/>
      <c r="AI95" s="217"/>
      <c r="AJ95" s="217"/>
      <c r="AK95" s="217"/>
      <c r="AL95" s="217"/>
      <c r="AM95" s="217"/>
      <c r="AN95" s="217"/>
      <c r="AO95" s="217"/>
      <c r="AP95" s="217"/>
      <c r="AQ95" s="217"/>
      <c r="AR95" s="217"/>
      <c r="AS95" s="217"/>
      <c r="AT95" s="355"/>
      <c r="AU95" s="217"/>
      <c r="AV95" s="217"/>
      <c r="AW95" s="217"/>
      <c r="AX95" s="217"/>
      <c r="AY95" s="217"/>
      <c r="AZ95" s="217"/>
      <c r="BA95" s="217"/>
      <c r="BB95" s="217"/>
      <c r="BC95" s="217"/>
      <c r="BD95" s="217"/>
      <c r="BE95" s="217"/>
      <c r="BF95" s="217"/>
      <c r="BG95" s="217"/>
      <c r="BH95" s="217"/>
    </row>
    <row r="96" spans="1:60">
      <c r="A96" s="254">
        <v>86</v>
      </c>
      <c r="B96" s="242"/>
      <c r="C96" s="243"/>
      <c r="D96" s="243"/>
      <c r="E96" s="357"/>
      <c r="F96" s="217"/>
      <c r="G96" s="217"/>
      <c r="H96" s="217"/>
      <c r="I96" s="217"/>
      <c r="J96" s="217"/>
      <c r="K96" s="217"/>
      <c r="L96" s="217"/>
      <c r="M96" s="217"/>
      <c r="N96" s="217"/>
      <c r="O96" s="217"/>
      <c r="P96" s="355"/>
      <c r="Q96" s="217"/>
      <c r="R96" s="217"/>
      <c r="S96" s="217"/>
      <c r="T96" s="217"/>
      <c r="U96" s="217"/>
      <c r="V96" s="217"/>
      <c r="W96" s="217"/>
      <c r="X96" s="217"/>
      <c r="Y96" s="217"/>
      <c r="Z96" s="217"/>
      <c r="AA96" s="217"/>
      <c r="AB96" s="217"/>
      <c r="AC96" s="217"/>
      <c r="AD96" s="217"/>
      <c r="AE96" s="355"/>
      <c r="AF96" s="217"/>
      <c r="AG96" s="217"/>
      <c r="AH96" s="217"/>
      <c r="AI96" s="217"/>
      <c r="AJ96" s="217"/>
      <c r="AK96" s="217"/>
      <c r="AL96" s="217"/>
      <c r="AM96" s="217"/>
      <c r="AN96" s="217"/>
      <c r="AO96" s="217"/>
      <c r="AP96" s="217"/>
      <c r="AQ96" s="217"/>
      <c r="AR96" s="217"/>
      <c r="AS96" s="217"/>
      <c r="AT96" s="355"/>
      <c r="AU96" s="217"/>
      <c r="AV96" s="217"/>
      <c r="AW96" s="217"/>
      <c r="AX96" s="217"/>
      <c r="AY96" s="217"/>
      <c r="AZ96" s="217"/>
      <c r="BA96" s="217"/>
      <c r="BB96" s="217"/>
      <c r="BC96" s="217"/>
      <c r="BD96" s="217"/>
      <c r="BE96" s="217"/>
      <c r="BF96" s="217"/>
      <c r="BG96" s="217"/>
      <c r="BH96" s="217"/>
    </row>
    <row r="97" spans="1:60">
      <c r="A97" s="254">
        <v>87</v>
      </c>
      <c r="B97" s="242"/>
      <c r="C97" s="243"/>
      <c r="D97" s="243"/>
      <c r="E97" s="357"/>
      <c r="F97" s="217"/>
      <c r="G97" s="217"/>
      <c r="H97" s="217"/>
      <c r="I97" s="217"/>
      <c r="J97" s="217"/>
      <c r="K97" s="217"/>
      <c r="L97" s="217"/>
      <c r="M97" s="217"/>
      <c r="N97" s="217"/>
      <c r="O97" s="217"/>
      <c r="P97" s="355"/>
      <c r="Q97" s="217"/>
      <c r="R97" s="217"/>
      <c r="S97" s="217"/>
      <c r="T97" s="217"/>
      <c r="U97" s="217"/>
      <c r="V97" s="217"/>
      <c r="W97" s="217"/>
      <c r="X97" s="217"/>
      <c r="Y97" s="217"/>
      <c r="Z97" s="217"/>
      <c r="AA97" s="217"/>
      <c r="AB97" s="217"/>
      <c r="AC97" s="217"/>
      <c r="AD97" s="217"/>
      <c r="AE97" s="355"/>
      <c r="AF97" s="217"/>
      <c r="AG97" s="217"/>
      <c r="AH97" s="217"/>
      <c r="AI97" s="217"/>
      <c r="AJ97" s="217"/>
      <c r="AK97" s="217"/>
      <c r="AL97" s="217"/>
      <c r="AM97" s="217"/>
      <c r="AN97" s="217"/>
      <c r="AO97" s="217"/>
      <c r="AP97" s="217"/>
      <c r="AQ97" s="217"/>
      <c r="AR97" s="217"/>
      <c r="AS97" s="217"/>
      <c r="AT97" s="355"/>
      <c r="AU97" s="217"/>
      <c r="AV97" s="217"/>
      <c r="AW97" s="217"/>
      <c r="AX97" s="217"/>
      <c r="AY97" s="217"/>
      <c r="AZ97" s="217"/>
      <c r="BA97" s="217"/>
      <c r="BB97" s="217"/>
      <c r="BC97" s="217"/>
      <c r="BD97" s="217"/>
      <c r="BE97" s="217"/>
      <c r="BF97" s="217"/>
      <c r="BG97" s="217"/>
      <c r="BH97" s="217"/>
    </row>
    <row r="98" spans="1:60">
      <c r="A98" s="254">
        <v>88</v>
      </c>
      <c r="B98" s="242"/>
      <c r="C98" s="243"/>
      <c r="D98" s="243"/>
      <c r="E98" s="357"/>
      <c r="F98" s="217"/>
      <c r="G98" s="217"/>
      <c r="H98" s="217"/>
      <c r="I98" s="217"/>
      <c r="J98" s="217"/>
      <c r="K98" s="217"/>
      <c r="L98" s="217"/>
      <c r="M98" s="217"/>
      <c r="N98" s="217"/>
      <c r="O98" s="217"/>
      <c r="P98" s="355"/>
      <c r="Q98" s="217"/>
      <c r="R98" s="217"/>
      <c r="S98" s="217"/>
      <c r="T98" s="217"/>
      <c r="U98" s="217"/>
      <c r="V98" s="217"/>
      <c r="W98" s="217"/>
      <c r="X98" s="217"/>
      <c r="Y98" s="217"/>
      <c r="Z98" s="217"/>
      <c r="AA98" s="217"/>
      <c r="AB98" s="217"/>
      <c r="AC98" s="217"/>
      <c r="AD98" s="217"/>
      <c r="AE98" s="355"/>
      <c r="AF98" s="217"/>
      <c r="AG98" s="217"/>
      <c r="AH98" s="217"/>
      <c r="AI98" s="217"/>
      <c r="AJ98" s="217"/>
      <c r="AK98" s="217"/>
      <c r="AL98" s="217"/>
      <c r="AM98" s="217"/>
      <c r="AN98" s="217"/>
      <c r="AO98" s="217"/>
      <c r="AP98" s="217"/>
      <c r="AQ98" s="217"/>
      <c r="AR98" s="217"/>
      <c r="AS98" s="217"/>
      <c r="AT98" s="355"/>
      <c r="AU98" s="217"/>
      <c r="AV98" s="217"/>
      <c r="AW98" s="217"/>
      <c r="AX98" s="217"/>
      <c r="AY98" s="217"/>
      <c r="AZ98" s="217"/>
      <c r="BA98" s="217"/>
      <c r="BB98" s="217"/>
      <c r="BC98" s="217"/>
      <c r="BD98" s="217"/>
      <c r="BE98" s="217"/>
      <c r="BF98" s="217"/>
      <c r="BG98" s="217"/>
      <c r="BH98" s="217"/>
    </row>
    <row r="99" spans="1:60">
      <c r="A99" s="254">
        <v>89</v>
      </c>
      <c r="B99" s="242"/>
      <c r="C99" s="243"/>
      <c r="D99" s="243"/>
      <c r="E99" s="357"/>
      <c r="F99" s="217"/>
      <c r="G99" s="217"/>
      <c r="H99" s="217"/>
      <c r="I99" s="217"/>
      <c r="J99" s="217"/>
      <c r="K99" s="217"/>
      <c r="L99" s="217"/>
      <c r="M99" s="217"/>
      <c r="N99" s="217"/>
      <c r="O99" s="217"/>
      <c r="P99" s="355"/>
      <c r="Q99" s="217"/>
      <c r="R99" s="217"/>
      <c r="S99" s="217"/>
      <c r="T99" s="217"/>
      <c r="U99" s="217"/>
      <c r="V99" s="217"/>
      <c r="W99" s="217"/>
      <c r="X99" s="217"/>
      <c r="Y99" s="217"/>
      <c r="Z99" s="217"/>
      <c r="AA99" s="217"/>
      <c r="AB99" s="217"/>
      <c r="AC99" s="217"/>
      <c r="AD99" s="217"/>
      <c r="AE99" s="355"/>
      <c r="AF99" s="217"/>
      <c r="AG99" s="217"/>
      <c r="AH99" s="217"/>
      <c r="AI99" s="217"/>
      <c r="AJ99" s="217"/>
      <c r="AK99" s="217"/>
      <c r="AL99" s="217"/>
      <c r="AM99" s="217"/>
      <c r="AN99" s="217"/>
      <c r="AO99" s="217"/>
      <c r="AP99" s="217"/>
      <c r="AQ99" s="217"/>
      <c r="AR99" s="217"/>
      <c r="AS99" s="217"/>
      <c r="AT99" s="355"/>
      <c r="AU99" s="217"/>
      <c r="AV99" s="217"/>
      <c r="AW99" s="217"/>
      <c r="AX99" s="217"/>
      <c r="AY99" s="217"/>
      <c r="AZ99" s="217"/>
      <c r="BA99" s="217"/>
      <c r="BB99" s="217"/>
      <c r="BC99" s="217"/>
      <c r="BD99" s="217"/>
      <c r="BE99" s="217"/>
      <c r="BF99" s="217"/>
      <c r="BG99" s="217"/>
      <c r="BH99" s="217"/>
    </row>
    <row r="100" spans="1:60">
      <c r="A100" s="254">
        <v>90</v>
      </c>
      <c r="B100" s="242"/>
      <c r="C100" s="243"/>
      <c r="D100" s="243"/>
      <c r="E100" s="357"/>
      <c r="F100" s="217"/>
      <c r="G100" s="217"/>
      <c r="H100" s="217"/>
      <c r="I100" s="217"/>
      <c r="J100" s="217"/>
      <c r="K100" s="217"/>
      <c r="L100" s="217"/>
      <c r="M100" s="217"/>
      <c r="N100" s="217"/>
      <c r="O100" s="217"/>
      <c r="P100" s="355"/>
      <c r="Q100" s="217"/>
      <c r="R100" s="217"/>
      <c r="S100" s="217"/>
      <c r="T100" s="217"/>
      <c r="U100" s="217"/>
      <c r="V100" s="217"/>
      <c r="W100" s="217"/>
      <c r="X100" s="217"/>
      <c r="Y100" s="217"/>
      <c r="Z100" s="217"/>
      <c r="AA100" s="217"/>
      <c r="AB100" s="217"/>
      <c r="AC100" s="217"/>
      <c r="AD100" s="217"/>
      <c r="AE100" s="355"/>
      <c r="AF100" s="217"/>
      <c r="AG100" s="217"/>
      <c r="AH100" s="217"/>
      <c r="AI100" s="217"/>
      <c r="AJ100" s="217"/>
      <c r="AK100" s="217"/>
      <c r="AL100" s="217"/>
      <c r="AM100" s="217"/>
      <c r="AN100" s="217"/>
      <c r="AO100" s="217"/>
      <c r="AP100" s="217"/>
      <c r="AQ100" s="217"/>
      <c r="AR100" s="217"/>
      <c r="AS100" s="217"/>
      <c r="AT100" s="355"/>
      <c r="AU100" s="217"/>
      <c r="AV100" s="217"/>
      <c r="AW100" s="217"/>
      <c r="AX100" s="217"/>
      <c r="AY100" s="217"/>
      <c r="AZ100" s="217"/>
      <c r="BA100" s="217"/>
      <c r="BB100" s="217"/>
      <c r="BC100" s="217"/>
      <c r="BD100" s="217"/>
      <c r="BE100" s="217"/>
      <c r="BF100" s="217"/>
      <c r="BG100" s="217"/>
      <c r="BH100" s="217"/>
    </row>
    <row r="101" spans="1:60">
      <c r="A101" s="254">
        <v>91</v>
      </c>
      <c r="B101" s="242"/>
      <c r="C101" s="243"/>
      <c r="D101" s="243"/>
      <c r="E101" s="357"/>
      <c r="F101" s="217"/>
      <c r="G101" s="217"/>
      <c r="H101" s="217"/>
      <c r="I101" s="217"/>
      <c r="J101" s="217"/>
      <c r="K101" s="217"/>
      <c r="L101" s="217"/>
      <c r="M101" s="217"/>
      <c r="N101" s="217"/>
      <c r="O101" s="217"/>
      <c r="P101" s="355"/>
      <c r="Q101" s="217"/>
      <c r="R101" s="217"/>
      <c r="S101" s="217"/>
      <c r="T101" s="217"/>
      <c r="U101" s="217"/>
      <c r="V101" s="217"/>
      <c r="W101" s="217"/>
      <c r="X101" s="217"/>
      <c r="Y101" s="217"/>
      <c r="Z101" s="217"/>
      <c r="AA101" s="217"/>
      <c r="AB101" s="217"/>
      <c r="AC101" s="217"/>
      <c r="AD101" s="217"/>
      <c r="AE101" s="355"/>
      <c r="AF101" s="217"/>
      <c r="AG101" s="217"/>
      <c r="AH101" s="217"/>
      <c r="AI101" s="217"/>
      <c r="AJ101" s="217"/>
      <c r="AK101" s="217"/>
      <c r="AL101" s="217"/>
      <c r="AM101" s="217"/>
      <c r="AN101" s="217"/>
      <c r="AO101" s="217"/>
      <c r="AP101" s="217"/>
      <c r="AQ101" s="217"/>
      <c r="AR101" s="217"/>
      <c r="AS101" s="217"/>
      <c r="AT101" s="355"/>
      <c r="AU101" s="217"/>
      <c r="AV101" s="217"/>
      <c r="AW101" s="217"/>
      <c r="AX101" s="217"/>
      <c r="AY101" s="217"/>
      <c r="AZ101" s="217"/>
      <c r="BA101" s="217"/>
      <c r="BB101" s="217"/>
      <c r="BC101" s="217"/>
      <c r="BD101" s="217"/>
      <c r="BE101" s="217"/>
      <c r="BF101" s="217"/>
      <c r="BG101" s="217"/>
      <c r="BH101" s="217"/>
    </row>
    <row r="102" spans="1:60">
      <c r="A102" s="254">
        <v>92</v>
      </c>
      <c r="B102" s="242"/>
      <c r="C102" s="243"/>
      <c r="D102" s="243"/>
      <c r="E102" s="357"/>
      <c r="F102" s="217"/>
      <c r="G102" s="217"/>
      <c r="H102" s="217"/>
      <c r="I102" s="217"/>
      <c r="J102" s="217"/>
      <c r="K102" s="217"/>
      <c r="L102" s="217"/>
      <c r="M102" s="217"/>
      <c r="N102" s="217"/>
      <c r="O102" s="217"/>
      <c r="P102" s="355"/>
      <c r="Q102" s="217"/>
      <c r="R102" s="217"/>
      <c r="S102" s="217"/>
      <c r="T102" s="217"/>
      <c r="U102" s="217"/>
      <c r="V102" s="217"/>
      <c r="W102" s="217"/>
      <c r="X102" s="217"/>
      <c r="Y102" s="217"/>
      <c r="Z102" s="217"/>
      <c r="AA102" s="217"/>
      <c r="AB102" s="217"/>
      <c r="AC102" s="217"/>
      <c r="AD102" s="217"/>
      <c r="AE102" s="355"/>
      <c r="AF102" s="217"/>
      <c r="AG102" s="217"/>
      <c r="AH102" s="217"/>
      <c r="AI102" s="217"/>
      <c r="AJ102" s="217"/>
      <c r="AK102" s="217"/>
      <c r="AL102" s="217"/>
      <c r="AM102" s="217"/>
      <c r="AN102" s="217"/>
      <c r="AO102" s="217"/>
      <c r="AP102" s="217"/>
      <c r="AQ102" s="217"/>
      <c r="AR102" s="217"/>
      <c r="AS102" s="217"/>
      <c r="AT102" s="355"/>
      <c r="AU102" s="217"/>
      <c r="AV102" s="217"/>
      <c r="AW102" s="217"/>
      <c r="AX102" s="217"/>
      <c r="AY102" s="217"/>
      <c r="AZ102" s="217"/>
      <c r="BA102" s="217"/>
      <c r="BB102" s="217"/>
      <c r="BC102" s="217"/>
      <c r="BD102" s="217"/>
      <c r="BE102" s="217"/>
      <c r="BF102" s="217"/>
      <c r="BG102" s="217"/>
      <c r="BH102" s="217"/>
    </row>
    <row r="103" spans="1:60">
      <c r="A103" s="254">
        <v>93</v>
      </c>
      <c r="B103" s="242"/>
      <c r="C103" s="243"/>
      <c r="D103" s="243"/>
      <c r="E103" s="357"/>
      <c r="F103" s="217"/>
      <c r="G103" s="217"/>
      <c r="H103" s="217"/>
      <c r="I103" s="217"/>
      <c r="J103" s="217"/>
      <c r="K103" s="217"/>
      <c r="L103" s="217"/>
      <c r="M103" s="217"/>
      <c r="N103" s="217"/>
      <c r="O103" s="217"/>
      <c r="P103" s="355"/>
      <c r="Q103" s="217"/>
      <c r="R103" s="217"/>
      <c r="S103" s="217"/>
      <c r="T103" s="217"/>
      <c r="U103" s="217"/>
      <c r="V103" s="217"/>
      <c r="W103" s="217"/>
      <c r="X103" s="217"/>
      <c r="Y103" s="217"/>
      <c r="Z103" s="217"/>
      <c r="AA103" s="217"/>
      <c r="AB103" s="217"/>
      <c r="AC103" s="217"/>
      <c r="AD103" s="217"/>
      <c r="AE103" s="355"/>
      <c r="AF103" s="217"/>
      <c r="AG103" s="217"/>
      <c r="AH103" s="217"/>
      <c r="AI103" s="217"/>
      <c r="AJ103" s="217"/>
      <c r="AK103" s="217"/>
      <c r="AL103" s="217"/>
      <c r="AM103" s="217"/>
      <c r="AN103" s="217"/>
      <c r="AO103" s="217"/>
      <c r="AP103" s="217"/>
      <c r="AQ103" s="217"/>
      <c r="AR103" s="217"/>
      <c r="AS103" s="217"/>
      <c r="AT103" s="355"/>
      <c r="AU103" s="217"/>
      <c r="AV103" s="217"/>
      <c r="AW103" s="217"/>
      <c r="AX103" s="217"/>
      <c r="AY103" s="217"/>
      <c r="AZ103" s="217"/>
      <c r="BA103" s="217"/>
      <c r="BB103" s="217"/>
      <c r="BC103" s="217"/>
      <c r="BD103" s="217"/>
      <c r="BE103" s="217"/>
      <c r="BF103" s="217"/>
      <c r="BG103" s="217"/>
      <c r="BH103" s="217"/>
    </row>
    <row r="104" spans="1:60">
      <c r="A104" s="254">
        <v>94</v>
      </c>
      <c r="B104" s="242"/>
      <c r="C104" s="243"/>
      <c r="D104" s="243"/>
      <c r="E104" s="357"/>
      <c r="F104" s="217"/>
      <c r="G104" s="217"/>
      <c r="H104" s="217"/>
      <c r="I104" s="217"/>
      <c r="J104" s="217"/>
      <c r="K104" s="217"/>
      <c r="L104" s="217"/>
      <c r="M104" s="217"/>
      <c r="N104" s="217"/>
      <c r="O104" s="217"/>
      <c r="P104" s="355"/>
      <c r="Q104" s="217"/>
      <c r="R104" s="217"/>
      <c r="S104" s="217"/>
      <c r="T104" s="217"/>
      <c r="U104" s="217"/>
      <c r="V104" s="217"/>
      <c r="W104" s="217"/>
      <c r="X104" s="217"/>
      <c r="Y104" s="217"/>
      <c r="Z104" s="217"/>
      <c r="AA104" s="217"/>
      <c r="AB104" s="217"/>
      <c r="AC104" s="217"/>
      <c r="AD104" s="217"/>
      <c r="AE104" s="355"/>
      <c r="AF104" s="217"/>
      <c r="AG104" s="217"/>
      <c r="AH104" s="217"/>
      <c r="AI104" s="217"/>
      <c r="AJ104" s="217"/>
      <c r="AK104" s="217"/>
      <c r="AL104" s="217"/>
      <c r="AM104" s="217"/>
      <c r="AN104" s="217"/>
      <c r="AO104" s="217"/>
      <c r="AP104" s="217"/>
      <c r="AQ104" s="217"/>
      <c r="AR104" s="217"/>
      <c r="AS104" s="217"/>
      <c r="AT104" s="355"/>
      <c r="AU104" s="217"/>
      <c r="AV104" s="217"/>
      <c r="AW104" s="217"/>
      <c r="AX104" s="217"/>
      <c r="AY104" s="217"/>
      <c r="AZ104" s="217"/>
      <c r="BA104" s="217"/>
      <c r="BB104" s="217"/>
      <c r="BC104" s="217"/>
      <c r="BD104" s="217"/>
      <c r="BE104" s="217"/>
      <c r="BF104" s="217"/>
      <c r="BG104" s="217"/>
      <c r="BH104" s="217"/>
    </row>
    <row r="105" spans="1:60">
      <c r="A105" s="254">
        <v>95</v>
      </c>
      <c r="B105" s="242"/>
      <c r="C105" s="243"/>
      <c r="D105" s="243"/>
      <c r="E105" s="357"/>
      <c r="F105" s="217"/>
      <c r="G105" s="217"/>
      <c r="H105" s="217"/>
      <c r="I105" s="217"/>
      <c r="J105" s="217"/>
      <c r="K105" s="217"/>
      <c r="L105" s="217"/>
      <c r="M105" s="217"/>
      <c r="N105" s="217"/>
      <c r="O105" s="217"/>
      <c r="P105" s="355"/>
      <c r="Q105" s="217"/>
      <c r="R105" s="217"/>
      <c r="S105" s="217"/>
      <c r="T105" s="217"/>
      <c r="U105" s="217"/>
      <c r="V105" s="217"/>
      <c r="W105" s="217"/>
      <c r="X105" s="217"/>
      <c r="Y105" s="217"/>
      <c r="Z105" s="217"/>
      <c r="AA105" s="217"/>
      <c r="AB105" s="217"/>
      <c r="AC105" s="217"/>
      <c r="AD105" s="217"/>
      <c r="AE105" s="355"/>
      <c r="AF105" s="217"/>
      <c r="AG105" s="217"/>
      <c r="AH105" s="217"/>
      <c r="AI105" s="217"/>
      <c r="AJ105" s="217"/>
      <c r="AK105" s="217"/>
      <c r="AL105" s="217"/>
      <c r="AM105" s="217"/>
      <c r="AN105" s="217"/>
      <c r="AO105" s="217"/>
      <c r="AP105" s="217"/>
      <c r="AQ105" s="217"/>
      <c r="AR105" s="217"/>
      <c r="AS105" s="217"/>
      <c r="AT105" s="355"/>
      <c r="AU105" s="217"/>
      <c r="AV105" s="217"/>
      <c r="AW105" s="217"/>
      <c r="AX105" s="217"/>
      <c r="AY105" s="217"/>
      <c r="AZ105" s="217"/>
      <c r="BA105" s="217"/>
      <c r="BB105" s="217"/>
      <c r="BC105" s="217"/>
      <c r="BD105" s="217"/>
      <c r="BE105" s="217"/>
      <c r="BF105" s="217"/>
      <c r="BG105" s="217"/>
      <c r="BH105" s="217"/>
    </row>
    <row r="106" spans="1:60">
      <c r="A106" s="254">
        <v>96</v>
      </c>
      <c r="B106" s="242"/>
      <c r="C106" s="243"/>
      <c r="D106" s="243"/>
      <c r="E106" s="357"/>
      <c r="F106" s="217"/>
      <c r="G106" s="217"/>
      <c r="H106" s="217"/>
      <c r="I106" s="217"/>
      <c r="J106" s="217"/>
      <c r="K106" s="217"/>
      <c r="L106" s="217"/>
      <c r="M106" s="217"/>
      <c r="N106" s="217"/>
      <c r="O106" s="217"/>
      <c r="P106" s="355"/>
      <c r="Q106" s="217"/>
      <c r="R106" s="217"/>
      <c r="S106" s="217"/>
      <c r="T106" s="217"/>
      <c r="U106" s="217"/>
      <c r="V106" s="217"/>
      <c r="W106" s="217"/>
      <c r="X106" s="217"/>
      <c r="Y106" s="217"/>
      <c r="Z106" s="217"/>
      <c r="AA106" s="217"/>
      <c r="AB106" s="217"/>
      <c r="AC106" s="217"/>
      <c r="AD106" s="217"/>
      <c r="AE106" s="355"/>
      <c r="AF106" s="217"/>
      <c r="AG106" s="217"/>
      <c r="AH106" s="217"/>
      <c r="AI106" s="217"/>
      <c r="AJ106" s="217"/>
      <c r="AK106" s="217"/>
      <c r="AL106" s="217"/>
      <c r="AM106" s="217"/>
      <c r="AN106" s="217"/>
      <c r="AO106" s="217"/>
      <c r="AP106" s="217"/>
      <c r="AQ106" s="217"/>
      <c r="AR106" s="217"/>
      <c r="AS106" s="217"/>
      <c r="AT106" s="355"/>
      <c r="AU106" s="217"/>
      <c r="AV106" s="217"/>
      <c r="AW106" s="217"/>
      <c r="AX106" s="217"/>
      <c r="AY106" s="217"/>
      <c r="AZ106" s="217"/>
      <c r="BA106" s="217"/>
      <c r="BB106" s="217"/>
      <c r="BC106" s="217"/>
      <c r="BD106" s="217"/>
      <c r="BE106" s="217"/>
      <c r="BF106" s="217"/>
      <c r="BG106" s="217"/>
      <c r="BH106" s="217"/>
    </row>
    <row r="107" spans="1:60">
      <c r="A107" s="254">
        <v>97</v>
      </c>
      <c r="B107" s="242"/>
      <c r="C107" s="243"/>
      <c r="D107" s="243"/>
      <c r="E107" s="357"/>
      <c r="F107" s="217"/>
      <c r="G107" s="217"/>
      <c r="H107" s="217"/>
      <c r="I107" s="217"/>
      <c r="J107" s="217"/>
      <c r="K107" s="217"/>
      <c r="L107" s="217"/>
      <c r="M107" s="217"/>
      <c r="N107" s="217"/>
      <c r="O107" s="217"/>
      <c r="P107" s="355"/>
      <c r="Q107" s="217"/>
      <c r="R107" s="217"/>
      <c r="S107" s="217"/>
      <c r="T107" s="217"/>
      <c r="U107" s="217"/>
      <c r="V107" s="217"/>
      <c r="W107" s="217"/>
      <c r="X107" s="217"/>
      <c r="Y107" s="217"/>
      <c r="Z107" s="217"/>
      <c r="AA107" s="217"/>
      <c r="AB107" s="217"/>
      <c r="AC107" s="217"/>
      <c r="AD107" s="217"/>
      <c r="AE107" s="355"/>
      <c r="AF107" s="217"/>
      <c r="AG107" s="217"/>
      <c r="AH107" s="217"/>
      <c r="AI107" s="217"/>
      <c r="AJ107" s="217"/>
      <c r="AK107" s="217"/>
      <c r="AL107" s="217"/>
      <c r="AM107" s="217"/>
      <c r="AN107" s="217"/>
      <c r="AO107" s="217"/>
      <c r="AP107" s="217"/>
      <c r="AQ107" s="217"/>
      <c r="AR107" s="217"/>
      <c r="AS107" s="217"/>
      <c r="AT107" s="355"/>
      <c r="AU107" s="217"/>
      <c r="AV107" s="217"/>
      <c r="AW107" s="217"/>
      <c r="AX107" s="217"/>
      <c r="AY107" s="217"/>
      <c r="AZ107" s="217"/>
      <c r="BA107" s="217"/>
      <c r="BB107" s="217"/>
      <c r="BC107" s="217"/>
      <c r="BD107" s="217"/>
      <c r="BE107" s="217"/>
      <c r="BF107" s="217"/>
      <c r="BG107" s="217"/>
      <c r="BH107" s="217"/>
    </row>
    <row r="108" spans="1:60">
      <c r="A108" s="254">
        <v>98</v>
      </c>
      <c r="B108" s="242"/>
      <c r="C108" s="243"/>
      <c r="D108" s="243"/>
      <c r="E108" s="357"/>
      <c r="F108" s="217"/>
      <c r="G108" s="217"/>
      <c r="H108" s="217"/>
      <c r="I108" s="217"/>
      <c r="J108" s="217"/>
      <c r="K108" s="217"/>
      <c r="L108" s="217"/>
      <c r="M108" s="217"/>
      <c r="N108" s="217"/>
      <c r="O108" s="217"/>
      <c r="P108" s="355"/>
      <c r="Q108" s="217"/>
      <c r="R108" s="217"/>
      <c r="S108" s="217"/>
      <c r="T108" s="217"/>
      <c r="U108" s="217"/>
      <c r="V108" s="217"/>
      <c r="W108" s="217"/>
      <c r="X108" s="217"/>
      <c r="Y108" s="217"/>
      <c r="Z108" s="217"/>
      <c r="AA108" s="217"/>
      <c r="AB108" s="217"/>
      <c r="AC108" s="217"/>
      <c r="AD108" s="217"/>
      <c r="AE108" s="355"/>
      <c r="AF108" s="217"/>
      <c r="AG108" s="217"/>
      <c r="AH108" s="217"/>
      <c r="AI108" s="217"/>
      <c r="AJ108" s="217"/>
      <c r="AK108" s="217"/>
      <c r="AL108" s="217"/>
      <c r="AM108" s="217"/>
      <c r="AN108" s="217"/>
      <c r="AO108" s="217"/>
      <c r="AP108" s="217"/>
      <c r="AQ108" s="217"/>
      <c r="AR108" s="217"/>
      <c r="AS108" s="217"/>
      <c r="AT108" s="355"/>
      <c r="AU108" s="217"/>
      <c r="AV108" s="217"/>
      <c r="AW108" s="217"/>
      <c r="AX108" s="217"/>
      <c r="AY108" s="217"/>
      <c r="AZ108" s="217"/>
      <c r="BA108" s="217"/>
      <c r="BB108" s="217"/>
      <c r="BC108" s="217"/>
      <c r="BD108" s="217"/>
      <c r="BE108" s="217"/>
      <c r="BF108" s="217"/>
      <c r="BG108" s="217"/>
      <c r="BH108" s="217"/>
    </row>
    <row r="109" spans="1:60">
      <c r="A109" s="254">
        <v>99</v>
      </c>
      <c r="B109" s="242"/>
      <c r="C109" s="243"/>
      <c r="D109" s="243"/>
      <c r="E109" s="357"/>
      <c r="F109" s="217"/>
      <c r="G109" s="217"/>
      <c r="H109" s="217"/>
      <c r="I109" s="217"/>
      <c r="J109" s="217"/>
      <c r="K109" s="217"/>
      <c r="L109" s="217"/>
      <c r="M109" s="217"/>
      <c r="N109" s="217"/>
      <c r="O109" s="217"/>
      <c r="P109" s="355"/>
      <c r="Q109" s="217"/>
      <c r="R109" s="217"/>
      <c r="S109" s="217"/>
      <c r="T109" s="217"/>
      <c r="U109" s="217"/>
      <c r="V109" s="217"/>
      <c r="W109" s="217"/>
      <c r="X109" s="217"/>
      <c r="Y109" s="217"/>
      <c r="Z109" s="217"/>
      <c r="AA109" s="217"/>
      <c r="AB109" s="217"/>
      <c r="AC109" s="217"/>
      <c r="AD109" s="217"/>
      <c r="AE109" s="355"/>
      <c r="AF109" s="217"/>
      <c r="AG109" s="217"/>
      <c r="AH109" s="217"/>
      <c r="AI109" s="217"/>
      <c r="AJ109" s="217"/>
      <c r="AK109" s="217"/>
      <c r="AL109" s="217"/>
      <c r="AM109" s="217"/>
      <c r="AN109" s="217"/>
      <c r="AO109" s="217"/>
      <c r="AP109" s="217"/>
      <c r="AQ109" s="217"/>
      <c r="AR109" s="217"/>
      <c r="AS109" s="217"/>
      <c r="AT109" s="355"/>
      <c r="AU109" s="217"/>
      <c r="AV109" s="217"/>
      <c r="AW109" s="217"/>
      <c r="AX109" s="217"/>
      <c r="AY109" s="217"/>
      <c r="AZ109" s="217"/>
      <c r="BA109" s="217"/>
      <c r="BB109" s="217"/>
      <c r="BC109" s="217"/>
      <c r="BD109" s="217"/>
      <c r="BE109" s="217"/>
      <c r="BF109" s="217"/>
      <c r="BG109" s="217"/>
      <c r="BH109" s="217"/>
    </row>
    <row r="110" spans="1:60">
      <c r="A110" s="358">
        <v>100</v>
      </c>
      <c r="B110" s="359"/>
      <c r="C110" s="360"/>
      <c r="D110" s="360"/>
      <c r="E110" s="361"/>
      <c r="F110" s="217"/>
      <c r="G110" s="217"/>
      <c r="H110" s="217"/>
      <c r="I110" s="217"/>
      <c r="J110" s="217"/>
      <c r="K110" s="217"/>
      <c r="L110" s="217"/>
      <c r="M110" s="217"/>
      <c r="N110" s="217"/>
      <c r="O110" s="217"/>
      <c r="P110" s="355"/>
      <c r="Q110" s="217"/>
      <c r="R110" s="217"/>
      <c r="S110" s="217"/>
      <c r="T110" s="217"/>
      <c r="U110" s="217"/>
      <c r="V110" s="217"/>
      <c r="W110" s="217"/>
      <c r="X110" s="217"/>
      <c r="Y110" s="217"/>
      <c r="Z110" s="217"/>
      <c r="AA110" s="217"/>
      <c r="AB110" s="217"/>
      <c r="AC110" s="217"/>
      <c r="AD110" s="217"/>
      <c r="AE110" s="355"/>
      <c r="AF110" s="217"/>
      <c r="AG110" s="217"/>
      <c r="AH110" s="217"/>
      <c r="AI110" s="217"/>
      <c r="AJ110" s="217"/>
      <c r="AK110" s="217"/>
      <c r="AL110" s="217"/>
      <c r="AM110" s="217"/>
      <c r="AN110" s="217"/>
      <c r="AO110" s="217"/>
      <c r="AP110" s="217"/>
      <c r="AQ110" s="217"/>
      <c r="AR110" s="217"/>
      <c r="AS110" s="217"/>
      <c r="AT110" s="355"/>
      <c r="AU110" s="217"/>
      <c r="AV110" s="217"/>
      <c r="AW110" s="217"/>
      <c r="AX110" s="217"/>
      <c r="AY110" s="217"/>
      <c r="AZ110" s="217"/>
      <c r="BA110" s="217"/>
      <c r="BB110" s="217"/>
      <c r="BC110" s="217"/>
      <c r="BD110" s="217"/>
      <c r="BE110" s="217"/>
      <c r="BF110" s="217"/>
      <c r="BG110" s="217"/>
      <c r="BH110" s="217"/>
    </row>
    <row r="111" spans="1:60">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row>
  </sheetData>
  <mergeCells count="7">
    <mergeCell ref="Q9:AC9"/>
    <mergeCell ref="AF9:AR9"/>
    <mergeCell ref="AU9:BG9"/>
    <mergeCell ref="B3:D3"/>
    <mergeCell ref="B4:D4"/>
    <mergeCell ref="B5:D5"/>
    <mergeCell ref="G6:I6"/>
  </mergeCells>
  <phoneticPr fontId="3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H111"/>
  <sheetViews>
    <sheetView workbookViewId="0">
      <selection activeCell="G5" sqref="G5"/>
    </sheetView>
  </sheetViews>
  <sheetFormatPr defaultRowHeight="12.5"/>
  <cols>
    <col min="1" max="1" width="12.453125" customWidth="1"/>
    <col min="2" max="2" width="8.81640625" bestFit="1" customWidth="1"/>
    <col min="3" max="5" width="9.453125" bestFit="1" customWidth="1"/>
    <col min="6"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60" ht="18">
      <c r="A1" s="34" t="s">
        <v>149</v>
      </c>
      <c r="B1" s="6"/>
      <c r="C1" s="4"/>
      <c r="D1" s="6"/>
      <c r="E1" s="6"/>
      <c r="F1" s="6"/>
      <c r="G1" s="6"/>
      <c r="H1" s="6"/>
      <c r="I1" s="6"/>
      <c r="J1" s="222"/>
      <c r="K1" s="222"/>
    </row>
    <row r="2" spans="1:60" ht="16" thickBot="1">
      <c r="A2" s="350" t="s">
        <v>151</v>
      </c>
      <c r="B2" s="6"/>
      <c r="C2" s="11"/>
      <c r="D2" s="6"/>
      <c r="E2" s="6"/>
      <c r="F2" s="6"/>
      <c r="G2" s="6"/>
      <c r="H2" s="6"/>
      <c r="I2" s="6"/>
      <c r="J2" s="222"/>
      <c r="K2" s="222"/>
    </row>
    <row r="3" spans="1:60" ht="16" thickBot="1">
      <c r="A3" s="346" t="s">
        <v>135</v>
      </c>
      <c r="B3" s="389" t="str">
        <f>'START HERE'!F6</f>
        <v>Korea</v>
      </c>
      <c r="C3" s="401"/>
      <c r="D3" s="390"/>
      <c r="E3" s="222"/>
      <c r="F3" s="31" t="s">
        <v>45</v>
      </c>
      <c r="G3" s="196" t="s">
        <v>96</v>
      </c>
      <c r="H3" s="199"/>
      <c r="I3" s="197"/>
      <c r="J3" s="222"/>
      <c r="K3" s="222"/>
    </row>
    <row r="4" spans="1:60" ht="15.5">
      <c r="A4" s="12" t="s">
        <v>22</v>
      </c>
      <c r="B4" s="389" t="str">
        <f>'START HERE'!F5</f>
        <v>Jack mackerel</v>
      </c>
      <c r="C4" s="401"/>
      <c r="D4" s="390"/>
      <c r="E4" s="222"/>
      <c r="F4" s="13"/>
      <c r="G4" s="345"/>
      <c r="H4" s="200"/>
      <c r="I4" s="84"/>
      <c r="J4" s="222"/>
      <c r="K4" s="222"/>
    </row>
    <row r="5" spans="1:60" ht="18">
      <c r="A5" s="12" t="s">
        <v>15</v>
      </c>
      <c r="B5" s="395">
        <f>'START HERE'!K3</f>
        <v>2018</v>
      </c>
      <c r="C5" s="402"/>
      <c r="D5" s="396"/>
      <c r="E5" s="222"/>
      <c r="F5" s="35" t="s">
        <v>46</v>
      </c>
      <c r="G5" s="85" t="s">
        <v>150</v>
      </c>
      <c r="H5" s="198"/>
      <c r="I5" s="86"/>
      <c r="J5" s="222"/>
      <c r="K5" s="222"/>
    </row>
    <row r="6" spans="1:60" ht="16" thickBot="1">
      <c r="A6" s="12"/>
      <c r="B6" s="81"/>
      <c r="C6" s="82"/>
      <c r="D6" s="6"/>
      <c r="F6" s="35" t="s">
        <v>16</v>
      </c>
      <c r="G6" s="384">
        <f>'START HERE'!$F8</f>
        <v>42252</v>
      </c>
      <c r="H6" s="385"/>
      <c r="I6" s="391"/>
      <c r="J6" s="222"/>
      <c r="K6" s="222"/>
    </row>
    <row r="7" spans="1:60">
      <c r="A7" s="6"/>
      <c r="B7" s="6"/>
      <c r="C7" s="6"/>
      <c r="D7" s="6"/>
      <c r="E7" s="6"/>
      <c r="F7" s="6"/>
      <c r="G7" s="6"/>
      <c r="H7" s="6"/>
      <c r="I7" s="6"/>
      <c r="J7" s="222"/>
      <c r="K7" s="222"/>
    </row>
    <row r="8" spans="1:60">
      <c r="A8" s="6"/>
      <c r="B8" s="6"/>
      <c r="C8" s="6"/>
      <c r="D8" s="6"/>
      <c r="E8" s="6"/>
      <c r="F8" s="6"/>
      <c r="G8" s="6"/>
      <c r="H8" s="6"/>
      <c r="I8" s="6"/>
      <c r="J8" s="222"/>
      <c r="K8" s="222"/>
    </row>
    <row r="9" spans="1:60" ht="13">
      <c r="A9" s="27" t="s">
        <v>92</v>
      </c>
      <c r="B9" s="27" t="s">
        <v>60</v>
      </c>
      <c r="C9" s="27" t="s">
        <v>37</v>
      </c>
      <c r="D9" s="27" t="s">
        <v>38</v>
      </c>
      <c r="E9" s="27" t="s">
        <v>39</v>
      </c>
      <c r="F9" s="352"/>
      <c r="G9" s="352"/>
      <c r="H9" s="352"/>
      <c r="I9" s="352"/>
      <c r="J9" s="352"/>
      <c r="K9" s="352"/>
      <c r="L9" s="352"/>
      <c r="M9" s="352"/>
      <c r="N9" s="352"/>
      <c r="O9" s="217"/>
      <c r="P9" s="353"/>
      <c r="Q9" s="400"/>
      <c r="R9" s="400"/>
      <c r="S9" s="400"/>
      <c r="T9" s="400"/>
      <c r="U9" s="400"/>
      <c r="V9" s="400"/>
      <c r="W9" s="400"/>
      <c r="X9" s="400"/>
      <c r="Y9" s="400"/>
      <c r="Z9" s="400"/>
      <c r="AA9" s="400"/>
      <c r="AB9" s="400"/>
      <c r="AC9" s="400"/>
      <c r="AD9" s="217"/>
      <c r="AE9" s="353"/>
      <c r="AF9" s="400"/>
      <c r="AG9" s="400"/>
      <c r="AH9" s="400"/>
      <c r="AI9" s="400"/>
      <c r="AJ9" s="400"/>
      <c r="AK9" s="400"/>
      <c r="AL9" s="400"/>
      <c r="AM9" s="400"/>
      <c r="AN9" s="400"/>
      <c r="AO9" s="400"/>
      <c r="AP9" s="400"/>
      <c r="AQ9" s="400"/>
      <c r="AR9" s="400"/>
      <c r="AS9" s="217"/>
      <c r="AT9" s="353"/>
      <c r="AU9" s="400"/>
      <c r="AV9" s="400"/>
      <c r="AW9" s="400"/>
      <c r="AX9" s="400"/>
      <c r="AY9" s="400"/>
      <c r="AZ9" s="400"/>
      <c r="BA9" s="400"/>
      <c r="BB9" s="400"/>
      <c r="BC9" s="400"/>
      <c r="BD9" s="400"/>
      <c r="BE9" s="400"/>
      <c r="BF9" s="400"/>
      <c r="BG9" s="400"/>
      <c r="BH9" s="217"/>
    </row>
    <row r="10" spans="1:60" ht="18">
      <c r="A10" s="28" t="s">
        <v>49</v>
      </c>
      <c r="B10" s="228">
        <f>'START HERE'!$K$3</f>
        <v>2018</v>
      </c>
      <c r="C10" s="228">
        <f>'START HERE'!$K$3</f>
        <v>2018</v>
      </c>
      <c r="D10" s="228">
        <f>'START HERE'!$K$3</f>
        <v>2018</v>
      </c>
      <c r="E10" s="227">
        <f>'START HERE'!$K$3</f>
        <v>2018</v>
      </c>
      <c r="F10" s="354"/>
      <c r="G10" s="354"/>
      <c r="H10" s="354"/>
      <c r="I10" s="354"/>
      <c r="J10" s="354"/>
      <c r="K10" s="354"/>
      <c r="L10" s="354"/>
      <c r="M10" s="354"/>
      <c r="N10" s="354"/>
      <c r="O10" s="217"/>
      <c r="P10" s="353"/>
      <c r="Q10" s="354"/>
      <c r="R10" s="354"/>
      <c r="S10" s="354"/>
      <c r="T10" s="354"/>
      <c r="U10" s="354"/>
      <c r="V10" s="354"/>
      <c r="W10" s="354"/>
      <c r="X10" s="354"/>
      <c r="Y10" s="354"/>
      <c r="Z10" s="354"/>
      <c r="AA10" s="354"/>
      <c r="AB10" s="354"/>
      <c r="AC10" s="354"/>
      <c r="AD10" s="217"/>
      <c r="AE10" s="353"/>
      <c r="AF10" s="354"/>
      <c r="AG10" s="354"/>
      <c r="AH10" s="354"/>
      <c r="AI10" s="354"/>
      <c r="AJ10" s="354"/>
      <c r="AK10" s="354"/>
      <c r="AL10" s="354"/>
      <c r="AM10" s="354"/>
      <c r="AN10" s="354"/>
      <c r="AO10" s="354"/>
      <c r="AP10" s="354"/>
      <c r="AQ10" s="354"/>
      <c r="AR10" s="354"/>
      <c r="AS10" s="217"/>
      <c r="AT10" s="353"/>
      <c r="AU10" s="354"/>
      <c r="AV10" s="354"/>
      <c r="AW10" s="354"/>
      <c r="AX10" s="354"/>
      <c r="AY10" s="354"/>
      <c r="AZ10" s="354"/>
      <c r="BA10" s="354"/>
      <c r="BB10" s="354"/>
      <c r="BC10" s="354"/>
      <c r="BD10" s="354"/>
      <c r="BE10" s="354"/>
      <c r="BF10" s="354"/>
      <c r="BG10" s="354"/>
      <c r="BH10" s="217"/>
    </row>
    <row r="11" spans="1:60">
      <c r="A11" s="254">
        <v>1</v>
      </c>
      <c r="B11" s="244"/>
      <c r="C11" s="245"/>
      <c r="D11" s="245"/>
      <c r="E11" s="356"/>
      <c r="F11" s="217"/>
      <c r="G11" s="217"/>
      <c r="H11" s="217"/>
      <c r="I11" s="217"/>
      <c r="J11" s="217"/>
      <c r="K11" s="217"/>
      <c r="L11" s="217"/>
      <c r="M11" s="217"/>
      <c r="N11" s="217"/>
      <c r="O11" s="217"/>
      <c r="P11" s="355"/>
      <c r="Q11" s="217"/>
      <c r="R11" s="217"/>
      <c r="S11" s="217"/>
      <c r="T11" s="217"/>
      <c r="U11" s="217"/>
      <c r="V11" s="217"/>
      <c r="W11" s="217"/>
      <c r="X11" s="217"/>
      <c r="Y11" s="217"/>
      <c r="Z11" s="217"/>
      <c r="AA11" s="217"/>
      <c r="AB11" s="217"/>
      <c r="AC11" s="217"/>
      <c r="AD11" s="217"/>
      <c r="AE11" s="355"/>
      <c r="AF11" s="217"/>
      <c r="AG11" s="217"/>
      <c r="AH11" s="217"/>
      <c r="AI11" s="217"/>
      <c r="AJ11" s="217"/>
      <c r="AK11" s="217"/>
      <c r="AL11" s="217"/>
      <c r="AM11" s="217"/>
      <c r="AN11" s="217"/>
      <c r="AO11" s="217"/>
      <c r="AP11" s="217"/>
      <c r="AQ11" s="217"/>
      <c r="AR11" s="217"/>
      <c r="AS11" s="217"/>
      <c r="AT11" s="355"/>
      <c r="AU11" s="217"/>
      <c r="AV11" s="217"/>
      <c r="AW11" s="217"/>
      <c r="AX11" s="217"/>
      <c r="AY11" s="217"/>
      <c r="AZ11" s="217"/>
      <c r="BA11" s="217"/>
      <c r="BB11" s="217"/>
      <c r="BC11" s="217"/>
      <c r="BD11" s="217"/>
      <c r="BE11" s="217"/>
      <c r="BF11" s="217"/>
      <c r="BG11" s="217"/>
      <c r="BH11" s="217"/>
    </row>
    <row r="12" spans="1:60">
      <c r="A12" s="254">
        <v>2</v>
      </c>
      <c r="B12" s="242"/>
      <c r="C12" s="243"/>
      <c r="D12" s="243"/>
      <c r="E12" s="357"/>
      <c r="F12" s="217"/>
      <c r="G12" s="217"/>
      <c r="H12" s="217"/>
      <c r="I12" s="217"/>
      <c r="J12" s="217"/>
      <c r="K12" s="217"/>
      <c r="L12" s="217"/>
      <c r="M12" s="217"/>
      <c r="N12" s="217"/>
      <c r="O12" s="217"/>
      <c r="P12" s="355"/>
      <c r="Q12" s="217"/>
      <c r="R12" s="217"/>
      <c r="S12" s="217"/>
      <c r="T12" s="217"/>
      <c r="U12" s="217"/>
      <c r="V12" s="217"/>
      <c r="W12" s="217"/>
      <c r="X12" s="217"/>
      <c r="Y12" s="217"/>
      <c r="Z12" s="217"/>
      <c r="AA12" s="217"/>
      <c r="AB12" s="217"/>
      <c r="AC12" s="217"/>
      <c r="AD12" s="217"/>
      <c r="AE12" s="355"/>
      <c r="AF12" s="217"/>
      <c r="AG12" s="217"/>
      <c r="AH12" s="217"/>
      <c r="AI12" s="217"/>
      <c r="AJ12" s="217"/>
      <c r="AK12" s="217"/>
      <c r="AL12" s="217"/>
      <c r="AM12" s="217"/>
      <c r="AN12" s="217"/>
      <c r="AO12" s="217"/>
      <c r="AP12" s="217"/>
      <c r="AQ12" s="217"/>
      <c r="AR12" s="217"/>
      <c r="AS12" s="217"/>
      <c r="AT12" s="355"/>
      <c r="AU12" s="217"/>
      <c r="AV12" s="217"/>
      <c r="AW12" s="217"/>
      <c r="AX12" s="217"/>
      <c r="AY12" s="217"/>
      <c r="AZ12" s="217"/>
      <c r="BA12" s="217"/>
      <c r="BB12" s="217"/>
      <c r="BC12" s="217"/>
      <c r="BD12" s="217"/>
      <c r="BE12" s="217"/>
      <c r="BF12" s="217"/>
      <c r="BG12" s="217"/>
      <c r="BH12" s="217"/>
    </row>
    <row r="13" spans="1:60">
      <c r="A13" s="254">
        <v>3</v>
      </c>
      <c r="B13" s="242"/>
      <c r="C13" s="243"/>
      <c r="D13" s="243"/>
      <c r="E13" s="357"/>
      <c r="F13" s="217"/>
      <c r="G13" s="217"/>
      <c r="H13" s="217"/>
      <c r="I13" s="217"/>
      <c r="J13" s="217"/>
      <c r="K13" s="217"/>
      <c r="L13" s="217"/>
      <c r="M13" s="217"/>
      <c r="N13" s="217"/>
      <c r="O13" s="217"/>
      <c r="P13" s="355"/>
      <c r="Q13" s="217"/>
      <c r="R13" s="217"/>
      <c r="S13" s="217"/>
      <c r="T13" s="217"/>
      <c r="U13" s="217"/>
      <c r="V13" s="217"/>
      <c r="W13" s="217"/>
      <c r="X13" s="217"/>
      <c r="Y13" s="217"/>
      <c r="Z13" s="217"/>
      <c r="AA13" s="217"/>
      <c r="AB13" s="217"/>
      <c r="AC13" s="217"/>
      <c r="AD13" s="217"/>
      <c r="AE13" s="355"/>
      <c r="AF13" s="217"/>
      <c r="AG13" s="217"/>
      <c r="AH13" s="217"/>
      <c r="AI13" s="217"/>
      <c r="AJ13" s="217"/>
      <c r="AK13" s="217"/>
      <c r="AL13" s="217"/>
      <c r="AM13" s="217"/>
      <c r="AN13" s="217"/>
      <c r="AO13" s="217"/>
      <c r="AP13" s="217"/>
      <c r="AQ13" s="217"/>
      <c r="AR13" s="217"/>
      <c r="AS13" s="217"/>
      <c r="AT13" s="355"/>
      <c r="AU13" s="217"/>
      <c r="AV13" s="217"/>
      <c r="AW13" s="217"/>
      <c r="AX13" s="217"/>
      <c r="AY13" s="217"/>
      <c r="AZ13" s="217"/>
      <c r="BA13" s="217"/>
      <c r="BB13" s="217"/>
      <c r="BC13" s="217"/>
      <c r="BD13" s="217"/>
      <c r="BE13" s="217"/>
      <c r="BF13" s="217"/>
      <c r="BG13" s="217"/>
      <c r="BH13" s="217"/>
    </row>
    <row r="14" spans="1:60">
      <c r="A14" s="254">
        <v>4</v>
      </c>
      <c r="B14" s="242"/>
      <c r="C14" s="243"/>
      <c r="D14" s="243"/>
      <c r="E14" s="357"/>
      <c r="F14" s="217"/>
      <c r="G14" s="217"/>
      <c r="H14" s="217"/>
      <c r="I14" s="217"/>
      <c r="J14" s="217"/>
      <c r="K14" s="217"/>
      <c r="L14" s="217"/>
      <c r="M14" s="217"/>
      <c r="N14" s="217"/>
      <c r="O14" s="217"/>
      <c r="P14" s="355"/>
      <c r="Q14" s="217"/>
      <c r="R14" s="217"/>
      <c r="S14" s="217"/>
      <c r="T14" s="217"/>
      <c r="U14" s="217"/>
      <c r="V14" s="217"/>
      <c r="W14" s="217"/>
      <c r="X14" s="217"/>
      <c r="Y14" s="217"/>
      <c r="Z14" s="217"/>
      <c r="AA14" s="217"/>
      <c r="AB14" s="217"/>
      <c r="AC14" s="217"/>
      <c r="AD14" s="217"/>
      <c r="AE14" s="355"/>
      <c r="AF14" s="217"/>
      <c r="AG14" s="217"/>
      <c r="AH14" s="217"/>
      <c r="AI14" s="217"/>
      <c r="AJ14" s="217"/>
      <c r="AK14" s="217"/>
      <c r="AL14" s="217"/>
      <c r="AM14" s="217"/>
      <c r="AN14" s="217"/>
      <c r="AO14" s="217"/>
      <c r="AP14" s="217"/>
      <c r="AQ14" s="217"/>
      <c r="AR14" s="217"/>
      <c r="AS14" s="217"/>
      <c r="AT14" s="355"/>
      <c r="AU14" s="217"/>
      <c r="AV14" s="217"/>
      <c r="AW14" s="217"/>
      <c r="AX14" s="217"/>
      <c r="AY14" s="217"/>
      <c r="AZ14" s="217"/>
      <c r="BA14" s="217"/>
      <c r="BB14" s="217"/>
      <c r="BC14" s="217"/>
      <c r="BD14" s="217"/>
      <c r="BE14" s="217"/>
      <c r="BF14" s="217"/>
      <c r="BG14" s="217"/>
      <c r="BH14" s="217"/>
    </row>
    <row r="15" spans="1:60">
      <c r="A15" s="254">
        <v>5</v>
      </c>
      <c r="B15" s="242"/>
      <c r="C15" s="243"/>
      <c r="D15" s="243"/>
      <c r="E15" s="357"/>
      <c r="F15" s="217"/>
      <c r="G15" s="217"/>
      <c r="H15" s="217"/>
      <c r="I15" s="217"/>
      <c r="J15" s="217"/>
      <c r="K15" s="217"/>
      <c r="L15" s="217"/>
      <c r="M15" s="217"/>
      <c r="N15" s="217"/>
      <c r="O15" s="217"/>
      <c r="P15" s="355"/>
      <c r="Q15" s="217"/>
      <c r="R15" s="217"/>
      <c r="S15" s="217"/>
      <c r="T15" s="217"/>
      <c r="U15" s="217"/>
      <c r="V15" s="217"/>
      <c r="W15" s="217"/>
      <c r="X15" s="217"/>
      <c r="Y15" s="217"/>
      <c r="Z15" s="217"/>
      <c r="AA15" s="217"/>
      <c r="AB15" s="217"/>
      <c r="AC15" s="217"/>
      <c r="AD15" s="217"/>
      <c r="AE15" s="355"/>
      <c r="AF15" s="217"/>
      <c r="AG15" s="217"/>
      <c r="AH15" s="217"/>
      <c r="AI15" s="217"/>
      <c r="AJ15" s="217"/>
      <c r="AK15" s="217"/>
      <c r="AL15" s="217"/>
      <c r="AM15" s="217"/>
      <c r="AN15" s="217"/>
      <c r="AO15" s="217"/>
      <c r="AP15" s="217"/>
      <c r="AQ15" s="217"/>
      <c r="AR15" s="217"/>
      <c r="AS15" s="217"/>
      <c r="AT15" s="355"/>
      <c r="AU15" s="217"/>
      <c r="AV15" s="217"/>
      <c r="AW15" s="217"/>
      <c r="AX15" s="217"/>
      <c r="AY15" s="217"/>
      <c r="AZ15" s="217"/>
      <c r="BA15" s="217"/>
      <c r="BB15" s="217"/>
      <c r="BC15" s="217"/>
      <c r="BD15" s="217"/>
      <c r="BE15" s="217"/>
      <c r="BF15" s="217"/>
      <c r="BG15" s="217"/>
      <c r="BH15" s="217"/>
    </row>
    <row r="16" spans="1:60">
      <c r="A16" s="254">
        <v>6</v>
      </c>
      <c r="B16" s="242"/>
      <c r="C16" s="243"/>
      <c r="D16" s="243"/>
      <c r="E16" s="357"/>
      <c r="F16" s="217"/>
      <c r="G16" s="217"/>
      <c r="H16" s="217"/>
      <c r="I16" s="217"/>
      <c r="J16" s="217"/>
      <c r="K16" s="217"/>
      <c r="L16" s="217"/>
      <c r="M16" s="217"/>
      <c r="N16" s="217"/>
      <c r="O16" s="217"/>
      <c r="P16" s="355"/>
      <c r="Q16" s="217"/>
      <c r="R16" s="217"/>
      <c r="S16" s="217"/>
      <c r="T16" s="217"/>
      <c r="U16" s="217"/>
      <c r="V16" s="217"/>
      <c r="W16" s="217"/>
      <c r="X16" s="217"/>
      <c r="Y16" s="217"/>
      <c r="Z16" s="217"/>
      <c r="AA16" s="217"/>
      <c r="AB16" s="217"/>
      <c r="AC16" s="217"/>
      <c r="AD16" s="217"/>
      <c r="AE16" s="355"/>
      <c r="AF16" s="217"/>
      <c r="AG16" s="217"/>
      <c r="AH16" s="217"/>
      <c r="AI16" s="217"/>
      <c r="AJ16" s="217"/>
      <c r="AK16" s="217"/>
      <c r="AL16" s="217"/>
      <c r="AM16" s="217"/>
      <c r="AN16" s="217"/>
      <c r="AO16" s="217"/>
      <c r="AP16" s="217"/>
      <c r="AQ16" s="217"/>
      <c r="AR16" s="217"/>
      <c r="AS16" s="217"/>
      <c r="AT16" s="355"/>
      <c r="AU16" s="217"/>
      <c r="AV16" s="217"/>
      <c r="AW16" s="217"/>
      <c r="AX16" s="217"/>
      <c r="AY16" s="217"/>
      <c r="AZ16" s="217"/>
      <c r="BA16" s="217"/>
      <c r="BB16" s="217"/>
      <c r="BC16" s="217"/>
      <c r="BD16" s="217"/>
      <c r="BE16" s="217"/>
      <c r="BF16" s="217"/>
      <c r="BG16" s="217"/>
      <c r="BH16" s="217"/>
    </row>
    <row r="17" spans="1:60">
      <c r="A17" s="254">
        <v>7</v>
      </c>
      <c r="B17" s="242"/>
      <c r="C17" s="243"/>
      <c r="D17" s="243"/>
      <c r="E17" s="357"/>
      <c r="F17" s="217"/>
      <c r="G17" s="217"/>
      <c r="H17" s="217"/>
      <c r="I17" s="217"/>
      <c r="J17" s="217"/>
      <c r="K17" s="217"/>
      <c r="L17" s="217"/>
      <c r="M17" s="217"/>
      <c r="N17" s="217"/>
      <c r="O17" s="217"/>
      <c r="P17" s="355"/>
      <c r="Q17" s="217"/>
      <c r="R17" s="217"/>
      <c r="S17" s="217"/>
      <c r="T17" s="217"/>
      <c r="U17" s="217"/>
      <c r="V17" s="217"/>
      <c r="W17" s="217"/>
      <c r="X17" s="217"/>
      <c r="Y17" s="217"/>
      <c r="Z17" s="217"/>
      <c r="AA17" s="217"/>
      <c r="AB17" s="217"/>
      <c r="AC17" s="217"/>
      <c r="AD17" s="217"/>
      <c r="AE17" s="355"/>
      <c r="AF17" s="217"/>
      <c r="AG17" s="217"/>
      <c r="AH17" s="217"/>
      <c r="AI17" s="217"/>
      <c r="AJ17" s="217"/>
      <c r="AK17" s="217"/>
      <c r="AL17" s="217"/>
      <c r="AM17" s="217"/>
      <c r="AN17" s="217"/>
      <c r="AO17" s="217"/>
      <c r="AP17" s="217"/>
      <c r="AQ17" s="217"/>
      <c r="AR17" s="217"/>
      <c r="AS17" s="217"/>
      <c r="AT17" s="355"/>
      <c r="AU17" s="217"/>
      <c r="AV17" s="217"/>
      <c r="AW17" s="217"/>
      <c r="AX17" s="217"/>
      <c r="AY17" s="217"/>
      <c r="AZ17" s="217"/>
      <c r="BA17" s="217"/>
      <c r="BB17" s="217"/>
      <c r="BC17" s="217"/>
      <c r="BD17" s="217"/>
      <c r="BE17" s="217"/>
      <c r="BF17" s="217"/>
      <c r="BG17" s="217"/>
      <c r="BH17" s="217"/>
    </row>
    <row r="18" spans="1:60">
      <c r="A18" s="254">
        <v>8</v>
      </c>
      <c r="B18" s="242"/>
      <c r="C18" s="243"/>
      <c r="D18" s="243"/>
      <c r="E18" s="357"/>
      <c r="F18" s="217"/>
      <c r="G18" s="217"/>
      <c r="H18" s="217"/>
      <c r="I18" s="217"/>
      <c r="J18" s="217"/>
      <c r="K18" s="217"/>
      <c r="L18" s="217"/>
      <c r="M18" s="217"/>
      <c r="N18" s="217"/>
      <c r="O18" s="217"/>
      <c r="P18" s="355"/>
      <c r="Q18" s="217"/>
      <c r="R18" s="217"/>
      <c r="S18" s="217"/>
      <c r="T18" s="217"/>
      <c r="U18" s="217"/>
      <c r="V18" s="217"/>
      <c r="W18" s="217"/>
      <c r="X18" s="217"/>
      <c r="Y18" s="217"/>
      <c r="Z18" s="217"/>
      <c r="AA18" s="217"/>
      <c r="AB18" s="217"/>
      <c r="AC18" s="217"/>
      <c r="AD18" s="217"/>
      <c r="AE18" s="355"/>
      <c r="AF18" s="217"/>
      <c r="AG18" s="217"/>
      <c r="AH18" s="217"/>
      <c r="AI18" s="217"/>
      <c r="AJ18" s="217"/>
      <c r="AK18" s="217"/>
      <c r="AL18" s="217"/>
      <c r="AM18" s="217"/>
      <c r="AN18" s="217"/>
      <c r="AO18" s="217"/>
      <c r="AP18" s="217"/>
      <c r="AQ18" s="217"/>
      <c r="AR18" s="217"/>
      <c r="AS18" s="217"/>
      <c r="AT18" s="355"/>
      <c r="AU18" s="217"/>
      <c r="AV18" s="217"/>
      <c r="AW18" s="217"/>
      <c r="AX18" s="217"/>
      <c r="AY18" s="217"/>
      <c r="AZ18" s="217"/>
      <c r="BA18" s="217"/>
      <c r="BB18" s="217"/>
      <c r="BC18" s="217"/>
      <c r="BD18" s="217"/>
      <c r="BE18" s="217"/>
      <c r="BF18" s="217"/>
      <c r="BG18" s="217"/>
      <c r="BH18" s="217"/>
    </row>
    <row r="19" spans="1:60">
      <c r="A19" s="254">
        <v>9</v>
      </c>
      <c r="B19" s="242"/>
      <c r="C19" s="243"/>
      <c r="D19" s="243"/>
      <c r="E19" s="357"/>
      <c r="F19" s="217"/>
      <c r="G19" s="217"/>
      <c r="H19" s="217"/>
      <c r="I19" s="217"/>
      <c r="J19" s="217"/>
      <c r="K19" s="217"/>
      <c r="L19" s="217"/>
      <c r="M19" s="217"/>
      <c r="N19" s="217"/>
      <c r="O19" s="217"/>
      <c r="P19" s="355"/>
      <c r="Q19" s="217"/>
      <c r="R19" s="217"/>
      <c r="S19" s="217"/>
      <c r="T19" s="217"/>
      <c r="U19" s="217"/>
      <c r="V19" s="217"/>
      <c r="W19" s="217"/>
      <c r="X19" s="217"/>
      <c r="Y19" s="217"/>
      <c r="Z19" s="217"/>
      <c r="AA19" s="217"/>
      <c r="AB19" s="217"/>
      <c r="AC19" s="217"/>
      <c r="AD19" s="217"/>
      <c r="AE19" s="355"/>
      <c r="AF19" s="217"/>
      <c r="AG19" s="217"/>
      <c r="AH19" s="217"/>
      <c r="AI19" s="217"/>
      <c r="AJ19" s="217"/>
      <c r="AK19" s="217"/>
      <c r="AL19" s="217"/>
      <c r="AM19" s="217"/>
      <c r="AN19" s="217"/>
      <c r="AO19" s="217"/>
      <c r="AP19" s="217"/>
      <c r="AQ19" s="217"/>
      <c r="AR19" s="217"/>
      <c r="AS19" s="217"/>
      <c r="AT19" s="355"/>
      <c r="AU19" s="217"/>
      <c r="AV19" s="217"/>
      <c r="AW19" s="217"/>
      <c r="AX19" s="217"/>
      <c r="AY19" s="217"/>
      <c r="AZ19" s="217"/>
      <c r="BA19" s="217"/>
      <c r="BB19" s="217"/>
      <c r="BC19" s="217"/>
      <c r="BD19" s="217"/>
      <c r="BE19" s="217"/>
      <c r="BF19" s="217"/>
      <c r="BG19" s="217"/>
      <c r="BH19" s="217"/>
    </row>
    <row r="20" spans="1:60">
      <c r="A20" s="254">
        <v>10</v>
      </c>
      <c r="B20" s="242"/>
      <c r="C20" s="243"/>
      <c r="D20" s="243"/>
      <c r="E20" s="357"/>
      <c r="F20" s="217"/>
      <c r="G20" s="217"/>
      <c r="H20" s="217"/>
      <c r="I20" s="217"/>
      <c r="J20" s="217"/>
      <c r="K20" s="217"/>
      <c r="L20" s="217"/>
      <c r="M20" s="217"/>
      <c r="N20" s="217"/>
      <c r="O20" s="217"/>
      <c r="P20" s="355"/>
      <c r="Q20" s="217"/>
      <c r="R20" s="217"/>
      <c r="S20" s="217"/>
      <c r="T20" s="217"/>
      <c r="U20" s="217"/>
      <c r="V20" s="217"/>
      <c r="W20" s="217"/>
      <c r="X20" s="217"/>
      <c r="Y20" s="217"/>
      <c r="Z20" s="217"/>
      <c r="AA20" s="217"/>
      <c r="AB20" s="217"/>
      <c r="AC20" s="217"/>
      <c r="AD20" s="217"/>
      <c r="AE20" s="355"/>
      <c r="AF20" s="217"/>
      <c r="AG20" s="217"/>
      <c r="AH20" s="217"/>
      <c r="AI20" s="217"/>
      <c r="AJ20" s="217"/>
      <c r="AK20" s="217"/>
      <c r="AL20" s="217"/>
      <c r="AM20" s="217"/>
      <c r="AN20" s="217"/>
      <c r="AO20" s="217"/>
      <c r="AP20" s="217"/>
      <c r="AQ20" s="217"/>
      <c r="AR20" s="217"/>
      <c r="AS20" s="217"/>
      <c r="AT20" s="355"/>
      <c r="AU20" s="217"/>
      <c r="AV20" s="217"/>
      <c r="AW20" s="217"/>
      <c r="AX20" s="217"/>
      <c r="AY20" s="217"/>
      <c r="AZ20" s="217"/>
      <c r="BA20" s="217"/>
      <c r="BB20" s="217"/>
      <c r="BC20" s="217"/>
      <c r="BD20" s="217"/>
      <c r="BE20" s="217"/>
      <c r="BF20" s="217"/>
      <c r="BG20" s="217"/>
      <c r="BH20" s="217"/>
    </row>
    <row r="21" spans="1:60">
      <c r="A21" s="254">
        <v>11</v>
      </c>
      <c r="B21" s="242"/>
      <c r="C21" s="243"/>
      <c r="D21" s="243"/>
      <c r="E21" s="357"/>
      <c r="F21" s="217"/>
      <c r="G21" s="217"/>
      <c r="H21" s="217"/>
      <c r="I21" s="217"/>
      <c r="J21" s="217"/>
      <c r="K21" s="217"/>
      <c r="L21" s="217"/>
      <c r="M21" s="217"/>
      <c r="N21" s="217"/>
      <c r="O21" s="217"/>
      <c r="P21" s="355"/>
      <c r="Q21" s="217"/>
      <c r="R21" s="217"/>
      <c r="S21" s="217"/>
      <c r="T21" s="217"/>
      <c r="U21" s="217"/>
      <c r="V21" s="217"/>
      <c r="W21" s="217"/>
      <c r="X21" s="217"/>
      <c r="Y21" s="217"/>
      <c r="Z21" s="217"/>
      <c r="AA21" s="217"/>
      <c r="AB21" s="217"/>
      <c r="AC21" s="217"/>
      <c r="AD21" s="217"/>
      <c r="AE21" s="355"/>
      <c r="AF21" s="217"/>
      <c r="AG21" s="217"/>
      <c r="AH21" s="217"/>
      <c r="AI21" s="217"/>
      <c r="AJ21" s="217"/>
      <c r="AK21" s="217"/>
      <c r="AL21" s="217"/>
      <c r="AM21" s="217"/>
      <c r="AN21" s="217"/>
      <c r="AO21" s="217"/>
      <c r="AP21" s="217"/>
      <c r="AQ21" s="217"/>
      <c r="AR21" s="217"/>
      <c r="AS21" s="217"/>
      <c r="AT21" s="355"/>
      <c r="AU21" s="217"/>
      <c r="AV21" s="217"/>
      <c r="AW21" s="217"/>
      <c r="AX21" s="217"/>
      <c r="AY21" s="217"/>
      <c r="AZ21" s="217"/>
      <c r="BA21" s="217"/>
      <c r="BB21" s="217"/>
      <c r="BC21" s="217"/>
      <c r="BD21" s="217"/>
      <c r="BE21" s="217"/>
      <c r="BF21" s="217"/>
      <c r="BG21" s="217"/>
      <c r="BH21" s="217"/>
    </row>
    <row r="22" spans="1:60">
      <c r="A22" s="254">
        <v>12</v>
      </c>
      <c r="B22" s="242"/>
      <c r="C22" s="243"/>
      <c r="D22" s="243"/>
      <c r="E22" s="357"/>
      <c r="F22" s="217"/>
      <c r="G22" s="217"/>
      <c r="H22" s="217"/>
      <c r="I22" s="217"/>
      <c r="J22" s="217"/>
      <c r="K22" s="217"/>
      <c r="L22" s="217"/>
      <c r="M22" s="217"/>
      <c r="N22" s="217"/>
      <c r="O22" s="217"/>
      <c r="P22" s="355"/>
      <c r="Q22" s="217"/>
      <c r="R22" s="217"/>
      <c r="S22" s="217"/>
      <c r="T22" s="217"/>
      <c r="U22" s="217"/>
      <c r="V22" s="217"/>
      <c r="W22" s="217"/>
      <c r="X22" s="217"/>
      <c r="Y22" s="217"/>
      <c r="Z22" s="217"/>
      <c r="AA22" s="217"/>
      <c r="AB22" s="217"/>
      <c r="AC22" s="217"/>
      <c r="AD22" s="217"/>
      <c r="AE22" s="355"/>
      <c r="AF22" s="217"/>
      <c r="AG22" s="217"/>
      <c r="AH22" s="217"/>
      <c r="AI22" s="217"/>
      <c r="AJ22" s="217"/>
      <c r="AK22" s="217"/>
      <c r="AL22" s="217"/>
      <c r="AM22" s="217"/>
      <c r="AN22" s="217"/>
      <c r="AO22" s="217"/>
      <c r="AP22" s="217"/>
      <c r="AQ22" s="217"/>
      <c r="AR22" s="217"/>
      <c r="AS22" s="217"/>
      <c r="AT22" s="355"/>
      <c r="AU22" s="217"/>
      <c r="AV22" s="217"/>
      <c r="AW22" s="217"/>
      <c r="AX22" s="217"/>
      <c r="AY22" s="217"/>
      <c r="AZ22" s="217"/>
      <c r="BA22" s="217"/>
      <c r="BB22" s="217"/>
      <c r="BC22" s="217"/>
      <c r="BD22" s="217"/>
      <c r="BE22" s="217"/>
      <c r="BF22" s="217"/>
      <c r="BG22" s="217"/>
      <c r="BH22" s="217"/>
    </row>
    <row r="23" spans="1:60">
      <c r="A23" s="254">
        <v>13</v>
      </c>
      <c r="B23" s="242"/>
      <c r="C23" s="243"/>
      <c r="D23" s="243"/>
      <c r="E23" s="357"/>
      <c r="F23" s="217"/>
      <c r="G23" s="217"/>
      <c r="H23" s="217"/>
      <c r="I23" s="217"/>
      <c r="J23" s="217"/>
      <c r="K23" s="217"/>
      <c r="L23" s="217"/>
      <c r="M23" s="217"/>
      <c r="N23" s="217"/>
      <c r="O23" s="217"/>
      <c r="P23" s="355"/>
      <c r="Q23" s="217"/>
      <c r="R23" s="217"/>
      <c r="S23" s="217"/>
      <c r="T23" s="217"/>
      <c r="U23" s="217"/>
      <c r="V23" s="217"/>
      <c r="W23" s="217"/>
      <c r="X23" s="217"/>
      <c r="Y23" s="217"/>
      <c r="Z23" s="217"/>
      <c r="AA23" s="217"/>
      <c r="AB23" s="217"/>
      <c r="AC23" s="217"/>
      <c r="AD23" s="217"/>
      <c r="AE23" s="355"/>
      <c r="AF23" s="217"/>
      <c r="AG23" s="217"/>
      <c r="AH23" s="217"/>
      <c r="AI23" s="217"/>
      <c r="AJ23" s="217"/>
      <c r="AK23" s="217"/>
      <c r="AL23" s="217"/>
      <c r="AM23" s="217"/>
      <c r="AN23" s="217"/>
      <c r="AO23" s="217"/>
      <c r="AP23" s="217"/>
      <c r="AQ23" s="217"/>
      <c r="AR23" s="217"/>
      <c r="AS23" s="217"/>
      <c r="AT23" s="355"/>
      <c r="AU23" s="217"/>
      <c r="AV23" s="217"/>
      <c r="AW23" s="217"/>
      <c r="AX23" s="217"/>
      <c r="AY23" s="217"/>
      <c r="AZ23" s="217"/>
      <c r="BA23" s="217"/>
      <c r="BB23" s="217"/>
      <c r="BC23" s="217"/>
      <c r="BD23" s="217"/>
      <c r="BE23" s="217"/>
      <c r="BF23" s="217"/>
      <c r="BG23" s="217"/>
      <c r="BH23" s="217"/>
    </row>
    <row r="24" spans="1:60">
      <c r="A24" s="254">
        <v>14</v>
      </c>
      <c r="B24" s="242"/>
      <c r="C24" s="243"/>
      <c r="D24" s="243"/>
      <c r="E24" s="357"/>
      <c r="F24" s="217"/>
      <c r="G24" s="217"/>
      <c r="H24" s="217"/>
      <c r="I24" s="217"/>
      <c r="J24" s="217"/>
      <c r="K24" s="217"/>
      <c r="L24" s="217"/>
      <c r="M24" s="217"/>
      <c r="N24" s="217"/>
      <c r="O24" s="217"/>
      <c r="P24" s="355"/>
      <c r="Q24" s="217"/>
      <c r="R24" s="217"/>
      <c r="S24" s="217"/>
      <c r="T24" s="217"/>
      <c r="U24" s="217"/>
      <c r="V24" s="217"/>
      <c r="W24" s="217"/>
      <c r="X24" s="217"/>
      <c r="Y24" s="217"/>
      <c r="Z24" s="217"/>
      <c r="AA24" s="217"/>
      <c r="AB24" s="217"/>
      <c r="AC24" s="217"/>
      <c r="AD24" s="217"/>
      <c r="AE24" s="355"/>
      <c r="AF24" s="217"/>
      <c r="AG24" s="217"/>
      <c r="AH24" s="217"/>
      <c r="AI24" s="217"/>
      <c r="AJ24" s="217"/>
      <c r="AK24" s="217"/>
      <c r="AL24" s="217"/>
      <c r="AM24" s="217"/>
      <c r="AN24" s="217"/>
      <c r="AO24" s="217"/>
      <c r="AP24" s="217"/>
      <c r="AQ24" s="217"/>
      <c r="AR24" s="217"/>
      <c r="AS24" s="217"/>
      <c r="AT24" s="355"/>
      <c r="AU24" s="217"/>
      <c r="AV24" s="217"/>
      <c r="AW24" s="217"/>
      <c r="AX24" s="217"/>
      <c r="AY24" s="217"/>
      <c r="AZ24" s="217"/>
      <c r="BA24" s="217"/>
      <c r="BB24" s="217"/>
      <c r="BC24" s="217"/>
      <c r="BD24" s="217"/>
      <c r="BE24" s="217"/>
      <c r="BF24" s="217"/>
      <c r="BG24" s="217"/>
      <c r="BH24" s="217"/>
    </row>
    <row r="25" spans="1:60">
      <c r="A25" s="254">
        <v>15</v>
      </c>
      <c r="B25" s="242"/>
      <c r="C25" s="243"/>
      <c r="D25" s="243"/>
      <c r="E25" s="357"/>
      <c r="F25" s="217"/>
      <c r="G25" s="217"/>
      <c r="H25" s="217"/>
      <c r="I25" s="217"/>
      <c r="J25" s="217"/>
      <c r="K25" s="217"/>
      <c r="L25" s="217"/>
      <c r="M25" s="217"/>
      <c r="N25" s="217"/>
      <c r="O25" s="217"/>
      <c r="P25" s="355"/>
      <c r="Q25" s="217"/>
      <c r="R25" s="217"/>
      <c r="S25" s="217"/>
      <c r="T25" s="217"/>
      <c r="U25" s="217"/>
      <c r="V25" s="217"/>
      <c r="W25" s="217"/>
      <c r="X25" s="217"/>
      <c r="Y25" s="217"/>
      <c r="Z25" s="217"/>
      <c r="AA25" s="217"/>
      <c r="AB25" s="217"/>
      <c r="AC25" s="217"/>
      <c r="AD25" s="217"/>
      <c r="AE25" s="355"/>
      <c r="AF25" s="217"/>
      <c r="AG25" s="217"/>
      <c r="AH25" s="217"/>
      <c r="AI25" s="217"/>
      <c r="AJ25" s="217"/>
      <c r="AK25" s="217"/>
      <c r="AL25" s="217"/>
      <c r="AM25" s="217"/>
      <c r="AN25" s="217"/>
      <c r="AO25" s="217"/>
      <c r="AP25" s="217"/>
      <c r="AQ25" s="217"/>
      <c r="AR25" s="217"/>
      <c r="AS25" s="217"/>
      <c r="AT25" s="355"/>
      <c r="AU25" s="217"/>
      <c r="AV25" s="217"/>
      <c r="AW25" s="217"/>
      <c r="AX25" s="217"/>
      <c r="AY25" s="217"/>
      <c r="AZ25" s="217"/>
      <c r="BA25" s="217"/>
      <c r="BB25" s="217"/>
      <c r="BC25" s="217"/>
      <c r="BD25" s="217"/>
      <c r="BE25" s="217"/>
      <c r="BF25" s="217"/>
      <c r="BG25" s="217"/>
      <c r="BH25" s="217"/>
    </row>
    <row r="26" spans="1:60">
      <c r="A26" s="254">
        <v>16</v>
      </c>
      <c r="B26" s="242"/>
      <c r="C26" s="243"/>
      <c r="D26" s="243"/>
      <c r="E26" s="357"/>
      <c r="F26" s="217"/>
      <c r="G26" s="217"/>
      <c r="H26" s="217"/>
      <c r="I26" s="217"/>
      <c r="J26" s="217"/>
      <c r="K26" s="217"/>
      <c r="L26" s="217"/>
      <c r="M26" s="217"/>
      <c r="N26" s="217"/>
      <c r="O26" s="217"/>
      <c r="P26" s="355"/>
      <c r="Q26" s="217"/>
      <c r="R26" s="217"/>
      <c r="S26" s="217"/>
      <c r="T26" s="217"/>
      <c r="U26" s="217"/>
      <c r="V26" s="217"/>
      <c r="W26" s="217"/>
      <c r="X26" s="217"/>
      <c r="Y26" s="217"/>
      <c r="Z26" s="217"/>
      <c r="AA26" s="217"/>
      <c r="AB26" s="217"/>
      <c r="AC26" s="217"/>
      <c r="AD26" s="217"/>
      <c r="AE26" s="355"/>
      <c r="AF26" s="217"/>
      <c r="AG26" s="217"/>
      <c r="AH26" s="217"/>
      <c r="AI26" s="217"/>
      <c r="AJ26" s="217"/>
      <c r="AK26" s="217"/>
      <c r="AL26" s="217"/>
      <c r="AM26" s="217"/>
      <c r="AN26" s="217"/>
      <c r="AO26" s="217"/>
      <c r="AP26" s="217"/>
      <c r="AQ26" s="217"/>
      <c r="AR26" s="217"/>
      <c r="AS26" s="217"/>
      <c r="AT26" s="355"/>
      <c r="AU26" s="217"/>
      <c r="AV26" s="217"/>
      <c r="AW26" s="217"/>
      <c r="AX26" s="217"/>
      <c r="AY26" s="217"/>
      <c r="AZ26" s="217"/>
      <c r="BA26" s="217"/>
      <c r="BB26" s="217"/>
      <c r="BC26" s="217"/>
      <c r="BD26" s="217"/>
      <c r="BE26" s="217"/>
      <c r="BF26" s="217"/>
      <c r="BG26" s="217"/>
      <c r="BH26" s="217"/>
    </row>
    <row r="27" spans="1:60">
      <c r="A27" s="254">
        <v>17</v>
      </c>
      <c r="B27" s="242"/>
      <c r="C27" s="243"/>
      <c r="D27" s="243"/>
      <c r="E27" s="357"/>
      <c r="F27" s="217"/>
      <c r="G27" s="217"/>
      <c r="H27" s="217"/>
      <c r="I27" s="217"/>
      <c r="J27" s="217"/>
      <c r="K27" s="217"/>
      <c r="L27" s="217"/>
      <c r="M27" s="217"/>
      <c r="N27" s="217"/>
      <c r="O27" s="217"/>
      <c r="P27" s="355"/>
      <c r="Q27" s="217"/>
      <c r="R27" s="217"/>
      <c r="S27" s="217"/>
      <c r="T27" s="217"/>
      <c r="U27" s="217"/>
      <c r="V27" s="217"/>
      <c r="W27" s="217"/>
      <c r="X27" s="217"/>
      <c r="Y27" s="217"/>
      <c r="Z27" s="217"/>
      <c r="AA27" s="217"/>
      <c r="AB27" s="217"/>
      <c r="AC27" s="217"/>
      <c r="AD27" s="217"/>
      <c r="AE27" s="355"/>
      <c r="AF27" s="217"/>
      <c r="AG27" s="217"/>
      <c r="AH27" s="217"/>
      <c r="AI27" s="217"/>
      <c r="AJ27" s="217"/>
      <c r="AK27" s="217"/>
      <c r="AL27" s="217"/>
      <c r="AM27" s="217"/>
      <c r="AN27" s="217"/>
      <c r="AO27" s="217"/>
      <c r="AP27" s="217"/>
      <c r="AQ27" s="217"/>
      <c r="AR27" s="217"/>
      <c r="AS27" s="217"/>
      <c r="AT27" s="355"/>
      <c r="AU27" s="217"/>
      <c r="AV27" s="217"/>
      <c r="AW27" s="217"/>
      <c r="AX27" s="217"/>
      <c r="AY27" s="217"/>
      <c r="AZ27" s="217"/>
      <c r="BA27" s="217"/>
      <c r="BB27" s="217"/>
      <c r="BC27" s="217"/>
      <c r="BD27" s="217"/>
      <c r="BE27" s="217"/>
      <c r="BF27" s="217"/>
      <c r="BG27" s="217"/>
      <c r="BH27" s="217"/>
    </row>
    <row r="28" spans="1:60">
      <c r="A28" s="254">
        <v>18</v>
      </c>
      <c r="B28" s="242"/>
      <c r="C28" s="243"/>
      <c r="D28" s="243"/>
      <c r="E28" s="357"/>
      <c r="F28" s="217"/>
      <c r="G28" s="217"/>
      <c r="H28" s="217"/>
      <c r="I28" s="217"/>
      <c r="J28" s="217"/>
      <c r="K28" s="217"/>
      <c r="L28" s="217"/>
      <c r="M28" s="217"/>
      <c r="N28" s="217"/>
      <c r="O28" s="217"/>
      <c r="P28" s="355"/>
      <c r="Q28" s="217"/>
      <c r="R28" s="217"/>
      <c r="S28" s="217"/>
      <c r="T28" s="217"/>
      <c r="U28" s="217"/>
      <c r="V28" s="217"/>
      <c r="W28" s="217"/>
      <c r="X28" s="217"/>
      <c r="Y28" s="217"/>
      <c r="Z28" s="217"/>
      <c r="AA28" s="217"/>
      <c r="AB28" s="217"/>
      <c r="AC28" s="217"/>
      <c r="AD28" s="217"/>
      <c r="AE28" s="355"/>
      <c r="AF28" s="217"/>
      <c r="AG28" s="217"/>
      <c r="AH28" s="217"/>
      <c r="AI28" s="217"/>
      <c r="AJ28" s="217"/>
      <c r="AK28" s="217"/>
      <c r="AL28" s="217"/>
      <c r="AM28" s="217"/>
      <c r="AN28" s="217"/>
      <c r="AO28" s="217"/>
      <c r="AP28" s="217"/>
      <c r="AQ28" s="217"/>
      <c r="AR28" s="217"/>
      <c r="AS28" s="217"/>
      <c r="AT28" s="355"/>
      <c r="AU28" s="217"/>
      <c r="AV28" s="217"/>
      <c r="AW28" s="217"/>
      <c r="AX28" s="217"/>
      <c r="AY28" s="217"/>
      <c r="AZ28" s="217"/>
      <c r="BA28" s="217"/>
      <c r="BB28" s="217"/>
      <c r="BC28" s="217"/>
      <c r="BD28" s="217"/>
      <c r="BE28" s="217"/>
      <c r="BF28" s="217"/>
      <c r="BG28" s="217"/>
      <c r="BH28" s="217"/>
    </row>
    <row r="29" spans="1:60">
      <c r="A29" s="254">
        <v>19</v>
      </c>
      <c r="B29" s="242"/>
      <c r="C29" s="243"/>
      <c r="D29" s="243"/>
      <c r="E29" s="357"/>
      <c r="F29" s="217"/>
      <c r="G29" s="217"/>
      <c r="H29" s="217"/>
      <c r="I29" s="217"/>
      <c r="J29" s="217"/>
      <c r="K29" s="217"/>
      <c r="L29" s="217"/>
      <c r="M29" s="217"/>
      <c r="N29" s="217"/>
      <c r="O29" s="217"/>
      <c r="P29" s="355"/>
      <c r="Q29" s="217"/>
      <c r="R29" s="217"/>
      <c r="S29" s="217"/>
      <c r="T29" s="217"/>
      <c r="U29" s="217"/>
      <c r="V29" s="217"/>
      <c r="W29" s="217"/>
      <c r="X29" s="217"/>
      <c r="Y29" s="217"/>
      <c r="Z29" s="217"/>
      <c r="AA29" s="217"/>
      <c r="AB29" s="217"/>
      <c r="AC29" s="217"/>
      <c r="AD29" s="217"/>
      <c r="AE29" s="355"/>
      <c r="AF29" s="217"/>
      <c r="AG29" s="217"/>
      <c r="AH29" s="217"/>
      <c r="AI29" s="217"/>
      <c r="AJ29" s="217"/>
      <c r="AK29" s="217"/>
      <c r="AL29" s="217"/>
      <c r="AM29" s="217"/>
      <c r="AN29" s="217"/>
      <c r="AO29" s="217"/>
      <c r="AP29" s="217"/>
      <c r="AQ29" s="217"/>
      <c r="AR29" s="217"/>
      <c r="AS29" s="217"/>
      <c r="AT29" s="355"/>
      <c r="AU29" s="217"/>
      <c r="AV29" s="217"/>
      <c r="AW29" s="217"/>
      <c r="AX29" s="217"/>
      <c r="AY29" s="217"/>
      <c r="AZ29" s="217"/>
      <c r="BA29" s="217"/>
      <c r="BB29" s="217"/>
      <c r="BC29" s="217"/>
      <c r="BD29" s="217"/>
      <c r="BE29" s="217"/>
      <c r="BF29" s="217"/>
      <c r="BG29" s="217"/>
      <c r="BH29" s="217"/>
    </row>
    <row r="30" spans="1:60">
      <c r="A30" s="254">
        <v>20</v>
      </c>
      <c r="B30" s="242"/>
      <c r="C30" s="243"/>
      <c r="D30" s="243"/>
      <c r="E30" s="357"/>
      <c r="F30" s="217"/>
      <c r="G30" s="217"/>
      <c r="H30" s="217"/>
      <c r="I30" s="217"/>
      <c r="J30" s="217"/>
      <c r="K30" s="217"/>
      <c r="L30" s="217"/>
      <c r="M30" s="217"/>
      <c r="N30" s="217"/>
      <c r="O30" s="217"/>
      <c r="P30" s="355"/>
      <c r="Q30" s="217"/>
      <c r="R30" s="217"/>
      <c r="S30" s="217"/>
      <c r="T30" s="217"/>
      <c r="U30" s="217"/>
      <c r="V30" s="217"/>
      <c r="W30" s="217"/>
      <c r="X30" s="217"/>
      <c r="Y30" s="217"/>
      <c r="Z30" s="217"/>
      <c r="AA30" s="217"/>
      <c r="AB30" s="217"/>
      <c r="AC30" s="217"/>
      <c r="AD30" s="217"/>
      <c r="AE30" s="355"/>
      <c r="AF30" s="217"/>
      <c r="AG30" s="217"/>
      <c r="AH30" s="217"/>
      <c r="AI30" s="217"/>
      <c r="AJ30" s="217"/>
      <c r="AK30" s="217"/>
      <c r="AL30" s="217"/>
      <c r="AM30" s="217"/>
      <c r="AN30" s="217"/>
      <c r="AO30" s="217"/>
      <c r="AP30" s="217"/>
      <c r="AQ30" s="217"/>
      <c r="AR30" s="217"/>
      <c r="AS30" s="217"/>
      <c r="AT30" s="355"/>
      <c r="AU30" s="217"/>
      <c r="AV30" s="217"/>
      <c r="AW30" s="217"/>
      <c r="AX30" s="217"/>
      <c r="AY30" s="217"/>
      <c r="AZ30" s="217"/>
      <c r="BA30" s="217"/>
      <c r="BB30" s="217"/>
      <c r="BC30" s="217"/>
      <c r="BD30" s="217"/>
      <c r="BE30" s="217"/>
      <c r="BF30" s="217"/>
      <c r="BG30" s="217"/>
      <c r="BH30" s="217"/>
    </row>
    <row r="31" spans="1:60">
      <c r="A31" s="254">
        <v>21</v>
      </c>
      <c r="B31" s="242"/>
      <c r="C31" s="243"/>
      <c r="D31" s="243"/>
      <c r="E31" s="357"/>
      <c r="F31" s="217"/>
      <c r="G31" s="217"/>
      <c r="H31" s="217"/>
      <c r="I31" s="217"/>
      <c r="J31" s="217"/>
      <c r="K31" s="217"/>
      <c r="L31" s="217"/>
      <c r="M31" s="217"/>
      <c r="N31" s="217"/>
      <c r="O31" s="217"/>
      <c r="P31" s="355"/>
      <c r="Q31" s="217"/>
      <c r="R31" s="217"/>
      <c r="S31" s="217"/>
      <c r="T31" s="217"/>
      <c r="U31" s="217"/>
      <c r="V31" s="217"/>
      <c r="W31" s="217"/>
      <c r="X31" s="217"/>
      <c r="Y31" s="217"/>
      <c r="Z31" s="217"/>
      <c r="AA31" s="217"/>
      <c r="AB31" s="217"/>
      <c r="AC31" s="217"/>
      <c r="AD31" s="217"/>
      <c r="AE31" s="355"/>
      <c r="AF31" s="217"/>
      <c r="AG31" s="217"/>
      <c r="AH31" s="217"/>
      <c r="AI31" s="217"/>
      <c r="AJ31" s="217"/>
      <c r="AK31" s="217"/>
      <c r="AL31" s="217"/>
      <c r="AM31" s="217"/>
      <c r="AN31" s="217"/>
      <c r="AO31" s="217"/>
      <c r="AP31" s="217"/>
      <c r="AQ31" s="217"/>
      <c r="AR31" s="217"/>
      <c r="AS31" s="217"/>
      <c r="AT31" s="355"/>
      <c r="AU31" s="217"/>
      <c r="AV31" s="217"/>
      <c r="AW31" s="217"/>
      <c r="AX31" s="217"/>
      <c r="AY31" s="217"/>
      <c r="AZ31" s="217"/>
      <c r="BA31" s="217"/>
      <c r="BB31" s="217"/>
      <c r="BC31" s="217"/>
      <c r="BD31" s="217"/>
      <c r="BE31" s="217"/>
      <c r="BF31" s="217"/>
      <c r="BG31" s="217"/>
      <c r="BH31" s="217"/>
    </row>
    <row r="32" spans="1:60">
      <c r="A32" s="254">
        <v>22</v>
      </c>
      <c r="B32" s="242"/>
      <c r="C32" s="243"/>
      <c r="D32" s="243"/>
      <c r="E32" s="357"/>
      <c r="F32" s="217"/>
      <c r="G32" s="217"/>
      <c r="H32" s="217"/>
      <c r="I32" s="217"/>
      <c r="J32" s="217"/>
      <c r="K32" s="217"/>
      <c r="L32" s="217"/>
      <c r="M32" s="217"/>
      <c r="N32" s="217"/>
      <c r="O32" s="217"/>
      <c r="P32" s="355"/>
      <c r="Q32" s="217"/>
      <c r="R32" s="217"/>
      <c r="S32" s="217"/>
      <c r="T32" s="217"/>
      <c r="U32" s="217"/>
      <c r="V32" s="217"/>
      <c r="W32" s="217"/>
      <c r="X32" s="217"/>
      <c r="Y32" s="217"/>
      <c r="Z32" s="217"/>
      <c r="AA32" s="217"/>
      <c r="AB32" s="217"/>
      <c r="AC32" s="217"/>
      <c r="AD32" s="217"/>
      <c r="AE32" s="355"/>
      <c r="AF32" s="217"/>
      <c r="AG32" s="217"/>
      <c r="AH32" s="217"/>
      <c r="AI32" s="217"/>
      <c r="AJ32" s="217"/>
      <c r="AK32" s="217"/>
      <c r="AL32" s="217"/>
      <c r="AM32" s="217"/>
      <c r="AN32" s="217"/>
      <c r="AO32" s="217"/>
      <c r="AP32" s="217"/>
      <c r="AQ32" s="217"/>
      <c r="AR32" s="217"/>
      <c r="AS32" s="217"/>
      <c r="AT32" s="355"/>
      <c r="AU32" s="217"/>
      <c r="AV32" s="217"/>
      <c r="AW32" s="217"/>
      <c r="AX32" s="217"/>
      <c r="AY32" s="217"/>
      <c r="AZ32" s="217"/>
      <c r="BA32" s="217"/>
      <c r="BB32" s="217"/>
      <c r="BC32" s="217"/>
      <c r="BD32" s="217"/>
      <c r="BE32" s="217"/>
      <c r="BF32" s="217"/>
      <c r="BG32" s="217"/>
      <c r="BH32" s="217"/>
    </row>
    <row r="33" spans="1:60">
      <c r="A33" s="254">
        <v>23</v>
      </c>
      <c r="B33" s="242"/>
      <c r="C33" s="243"/>
      <c r="D33" s="243"/>
      <c r="E33" s="357"/>
      <c r="F33" s="217"/>
      <c r="G33" s="217"/>
      <c r="H33" s="217"/>
      <c r="I33" s="217"/>
      <c r="J33" s="217"/>
      <c r="K33" s="217"/>
      <c r="L33" s="217"/>
      <c r="M33" s="217"/>
      <c r="N33" s="217"/>
      <c r="O33" s="217"/>
      <c r="P33" s="355"/>
      <c r="Q33" s="217"/>
      <c r="R33" s="217"/>
      <c r="S33" s="217"/>
      <c r="T33" s="217"/>
      <c r="U33" s="217"/>
      <c r="V33" s="217"/>
      <c r="W33" s="217"/>
      <c r="X33" s="217"/>
      <c r="Y33" s="217"/>
      <c r="Z33" s="217"/>
      <c r="AA33" s="217"/>
      <c r="AB33" s="217"/>
      <c r="AC33" s="217"/>
      <c r="AD33" s="217"/>
      <c r="AE33" s="355"/>
      <c r="AF33" s="217"/>
      <c r="AG33" s="217"/>
      <c r="AH33" s="217"/>
      <c r="AI33" s="217"/>
      <c r="AJ33" s="217"/>
      <c r="AK33" s="217"/>
      <c r="AL33" s="217"/>
      <c r="AM33" s="217"/>
      <c r="AN33" s="217"/>
      <c r="AO33" s="217"/>
      <c r="AP33" s="217"/>
      <c r="AQ33" s="217"/>
      <c r="AR33" s="217"/>
      <c r="AS33" s="217"/>
      <c r="AT33" s="355"/>
      <c r="AU33" s="217"/>
      <c r="AV33" s="217"/>
      <c r="AW33" s="217"/>
      <c r="AX33" s="217"/>
      <c r="AY33" s="217"/>
      <c r="AZ33" s="217"/>
      <c r="BA33" s="217"/>
      <c r="BB33" s="217"/>
      <c r="BC33" s="217"/>
      <c r="BD33" s="217"/>
      <c r="BE33" s="217"/>
      <c r="BF33" s="217"/>
      <c r="BG33" s="217"/>
      <c r="BH33" s="217"/>
    </row>
    <row r="34" spans="1:60">
      <c r="A34" s="254">
        <v>24</v>
      </c>
      <c r="B34" s="242"/>
      <c r="C34" s="243"/>
      <c r="D34" s="243"/>
      <c r="E34" s="357"/>
      <c r="F34" s="217"/>
      <c r="G34" s="217"/>
      <c r="H34" s="217"/>
      <c r="I34" s="217"/>
      <c r="J34" s="217"/>
      <c r="K34" s="217"/>
      <c r="L34" s="217"/>
      <c r="M34" s="217"/>
      <c r="N34" s="217"/>
      <c r="O34" s="217"/>
      <c r="P34" s="355"/>
      <c r="Q34" s="217"/>
      <c r="R34" s="217"/>
      <c r="S34" s="217"/>
      <c r="T34" s="217"/>
      <c r="U34" s="217"/>
      <c r="V34" s="217"/>
      <c r="W34" s="217"/>
      <c r="X34" s="217"/>
      <c r="Y34" s="217"/>
      <c r="Z34" s="217"/>
      <c r="AA34" s="217"/>
      <c r="AB34" s="217"/>
      <c r="AC34" s="217"/>
      <c r="AD34" s="217"/>
      <c r="AE34" s="355"/>
      <c r="AF34" s="217"/>
      <c r="AG34" s="217"/>
      <c r="AH34" s="217"/>
      <c r="AI34" s="217"/>
      <c r="AJ34" s="217"/>
      <c r="AK34" s="217"/>
      <c r="AL34" s="217"/>
      <c r="AM34" s="217"/>
      <c r="AN34" s="217"/>
      <c r="AO34" s="217"/>
      <c r="AP34" s="217"/>
      <c r="AQ34" s="217"/>
      <c r="AR34" s="217"/>
      <c r="AS34" s="217"/>
      <c r="AT34" s="355"/>
      <c r="AU34" s="217"/>
      <c r="AV34" s="217"/>
      <c r="AW34" s="217"/>
      <c r="AX34" s="217"/>
      <c r="AY34" s="217"/>
      <c r="AZ34" s="217"/>
      <c r="BA34" s="217"/>
      <c r="BB34" s="217"/>
      <c r="BC34" s="217"/>
      <c r="BD34" s="217"/>
      <c r="BE34" s="217"/>
      <c r="BF34" s="217"/>
      <c r="BG34" s="217"/>
      <c r="BH34" s="217"/>
    </row>
    <row r="35" spans="1:60">
      <c r="A35" s="254">
        <v>25</v>
      </c>
      <c r="B35" s="242"/>
      <c r="C35" s="243"/>
      <c r="D35" s="243"/>
      <c r="E35" s="357"/>
      <c r="F35" s="217"/>
      <c r="G35" s="217"/>
      <c r="H35" s="217"/>
      <c r="I35" s="217"/>
      <c r="J35" s="217"/>
      <c r="K35" s="217"/>
      <c r="L35" s="217"/>
      <c r="M35" s="217"/>
      <c r="N35" s="217"/>
      <c r="O35" s="217"/>
      <c r="P35" s="355"/>
      <c r="Q35" s="217"/>
      <c r="R35" s="217"/>
      <c r="S35" s="217"/>
      <c r="T35" s="217"/>
      <c r="U35" s="217"/>
      <c r="V35" s="217"/>
      <c r="W35" s="217"/>
      <c r="X35" s="217"/>
      <c r="Y35" s="217"/>
      <c r="Z35" s="217"/>
      <c r="AA35" s="217"/>
      <c r="AB35" s="217"/>
      <c r="AC35" s="217"/>
      <c r="AD35" s="217"/>
      <c r="AE35" s="355"/>
      <c r="AF35" s="217"/>
      <c r="AG35" s="217"/>
      <c r="AH35" s="217"/>
      <c r="AI35" s="217"/>
      <c r="AJ35" s="217"/>
      <c r="AK35" s="217"/>
      <c r="AL35" s="217"/>
      <c r="AM35" s="217"/>
      <c r="AN35" s="217"/>
      <c r="AO35" s="217"/>
      <c r="AP35" s="217"/>
      <c r="AQ35" s="217"/>
      <c r="AR35" s="217"/>
      <c r="AS35" s="217"/>
      <c r="AT35" s="355"/>
      <c r="AU35" s="217"/>
      <c r="AV35" s="217"/>
      <c r="AW35" s="217"/>
      <c r="AX35" s="217"/>
      <c r="AY35" s="217"/>
      <c r="AZ35" s="217"/>
      <c r="BA35" s="217"/>
      <c r="BB35" s="217"/>
      <c r="BC35" s="217"/>
      <c r="BD35" s="217"/>
      <c r="BE35" s="217"/>
      <c r="BF35" s="217"/>
      <c r="BG35" s="217"/>
      <c r="BH35" s="217"/>
    </row>
    <row r="36" spans="1:60">
      <c r="A36" s="254">
        <v>26</v>
      </c>
      <c r="B36" s="242"/>
      <c r="C36" s="243"/>
      <c r="D36" s="243"/>
      <c r="E36" s="357"/>
      <c r="F36" s="217"/>
      <c r="G36" s="217"/>
      <c r="H36" s="217"/>
      <c r="I36" s="217"/>
      <c r="J36" s="217"/>
      <c r="K36" s="217"/>
      <c r="L36" s="217"/>
      <c r="M36" s="217"/>
      <c r="N36" s="217"/>
      <c r="O36" s="217"/>
      <c r="P36" s="355"/>
      <c r="Q36" s="217"/>
      <c r="R36" s="217"/>
      <c r="S36" s="217"/>
      <c r="T36" s="217"/>
      <c r="U36" s="217"/>
      <c r="V36" s="217"/>
      <c r="W36" s="217"/>
      <c r="X36" s="217"/>
      <c r="Y36" s="217"/>
      <c r="Z36" s="217"/>
      <c r="AA36" s="217"/>
      <c r="AB36" s="217"/>
      <c r="AC36" s="217"/>
      <c r="AD36" s="217"/>
      <c r="AE36" s="355"/>
      <c r="AF36" s="217"/>
      <c r="AG36" s="217"/>
      <c r="AH36" s="217"/>
      <c r="AI36" s="217"/>
      <c r="AJ36" s="217"/>
      <c r="AK36" s="217"/>
      <c r="AL36" s="217"/>
      <c r="AM36" s="217"/>
      <c r="AN36" s="217"/>
      <c r="AO36" s="217"/>
      <c r="AP36" s="217"/>
      <c r="AQ36" s="217"/>
      <c r="AR36" s="217"/>
      <c r="AS36" s="217"/>
      <c r="AT36" s="355"/>
      <c r="AU36" s="217"/>
      <c r="AV36" s="217"/>
      <c r="AW36" s="217"/>
      <c r="AX36" s="217"/>
      <c r="AY36" s="217"/>
      <c r="AZ36" s="217"/>
      <c r="BA36" s="217"/>
      <c r="BB36" s="217"/>
      <c r="BC36" s="217"/>
      <c r="BD36" s="217"/>
      <c r="BE36" s="217"/>
      <c r="BF36" s="217"/>
      <c r="BG36" s="217"/>
      <c r="BH36" s="217"/>
    </row>
    <row r="37" spans="1:60">
      <c r="A37" s="254">
        <v>27</v>
      </c>
      <c r="B37" s="242"/>
      <c r="C37" s="243"/>
      <c r="D37" s="243"/>
      <c r="E37" s="357"/>
      <c r="F37" s="217"/>
      <c r="G37" s="217"/>
      <c r="H37" s="217"/>
      <c r="I37" s="217"/>
      <c r="J37" s="217"/>
      <c r="K37" s="217"/>
      <c r="L37" s="217"/>
      <c r="M37" s="217"/>
      <c r="N37" s="217"/>
      <c r="O37" s="217"/>
      <c r="P37" s="355"/>
      <c r="Q37" s="217"/>
      <c r="R37" s="217"/>
      <c r="S37" s="217"/>
      <c r="T37" s="217"/>
      <c r="U37" s="217"/>
      <c r="V37" s="217"/>
      <c r="W37" s="217"/>
      <c r="X37" s="217"/>
      <c r="Y37" s="217"/>
      <c r="Z37" s="217"/>
      <c r="AA37" s="217"/>
      <c r="AB37" s="217"/>
      <c r="AC37" s="217"/>
      <c r="AD37" s="217"/>
      <c r="AE37" s="355"/>
      <c r="AF37" s="217"/>
      <c r="AG37" s="217"/>
      <c r="AH37" s="217"/>
      <c r="AI37" s="217"/>
      <c r="AJ37" s="217"/>
      <c r="AK37" s="217"/>
      <c r="AL37" s="217"/>
      <c r="AM37" s="217"/>
      <c r="AN37" s="217"/>
      <c r="AO37" s="217"/>
      <c r="AP37" s="217"/>
      <c r="AQ37" s="217"/>
      <c r="AR37" s="217"/>
      <c r="AS37" s="217"/>
      <c r="AT37" s="355"/>
      <c r="AU37" s="217"/>
      <c r="AV37" s="217"/>
      <c r="AW37" s="217"/>
      <c r="AX37" s="217"/>
      <c r="AY37" s="217"/>
      <c r="AZ37" s="217"/>
      <c r="BA37" s="217"/>
      <c r="BB37" s="217"/>
      <c r="BC37" s="217"/>
      <c r="BD37" s="217"/>
      <c r="BE37" s="217"/>
      <c r="BF37" s="217"/>
      <c r="BG37" s="217"/>
      <c r="BH37" s="217"/>
    </row>
    <row r="38" spans="1:60">
      <c r="A38" s="254">
        <v>28</v>
      </c>
      <c r="B38" s="242"/>
      <c r="C38" s="243"/>
      <c r="D38" s="243"/>
      <c r="E38" s="357"/>
      <c r="F38" s="217"/>
      <c r="G38" s="217"/>
      <c r="H38" s="217"/>
      <c r="I38" s="217"/>
      <c r="J38" s="217"/>
      <c r="K38" s="217"/>
      <c r="L38" s="217"/>
      <c r="M38" s="217"/>
      <c r="N38" s="217"/>
      <c r="O38" s="217"/>
      <c r="P38" s="355"/>
      <c r="Q38" s="217"/>
      <c r="R38" s="217"/>
      <c r="S38" s="217"/>
      <c r="T38" s="217"/>
      <c r="U38" s="217"/>
      <c r="V38" s="217"/>
      <c r="W38" s="217"/>
      <c r="X38" s="217"/>
      <c r="Y38" s="217"/>
      <c r="Z38" s="217"/>
      <c r="AA38" s="217"/>
      <c r="AB38" s="217"/>
      <c r="AC38" s="217"/>
      <c r="AD38" s="217"/>
      <c r="AE38" s="355"/>
      <c r="AF38" s="217"/>
      <c r="AG38" s="217"/>
      <c r="AH38" s="217"/>
      <c r="AI38" s="217"/>
      <c r="AJ38" s="217"/>
      <c r="AK38" s="217"/>
      <c r="AL38" s="217"/>
      <c r="AM38" s="217"/>
      <c r="AN38" s="217"/>
      <c r="AO38" s="217"/>
      <c r="AP38" s="217"/>
      <c r="AQ38" s="217"/>
      <c r="AR38" s="217"/>
      <c r="AS38" s="217"/>
      <c r="AT38" s="355"/>
      <c r="AU38" s="217"/>
      <c r="AV38" s="217"/>
      <c r="AW38" s="217"/>
      <c r="AX38" s="217"/>
      <c r="AY38" s="217"/>
      <c r="AZ38" s="217"/>
      <c r="BA38" s="217"/>
      <c r="BB38" s="217"/>
      <c r="BC38" s="217"/>
      <c r="BD38" s="217"/>
      <c r="BE38" s="217"/>
      <c r="BF38" s="217"/>
      <c r="BG38" s="217"/>
      <c r="BH38" s="217"/>
    </row>
    <row r="39" spans="1:60">
      <c r="A39" s="254">
        <v>29</v>
      </c>
      <c r="B39" s="242"/>
      <c r="C39" s="243"/>
      <c r="D39" s="243"/>
      <c r="E39" s="357"/>
      <c r="F39" s="217"/>
      <c r="G39" s="217"/>
      <c r="H39" s="217"/>
      <c r="I39" s="217"/>
      <c r="J39" s="217"/>
      <c r="K39" s="217"/>
      <c r="L39" s="217"/>
      <c r="M39" s="217"/>
      <c r="N39" s="217"/>
      <c r="O39" s="217"/>
      <c r="P39" s="355"/>
      <c r="Q39" s="217"/>
      <c r="R39" s="217"/>
      <c r="S39" s="217"/>
      <c r="T39" s="217"/>
      <c r="U39" s="217"/>
      <c r="V39" s="217"/>
      <c r="W39" s="217"/>
      <c r="X39" s="217"/>
      <c r="Y39" s="217"/>
      <c r="Z39" s="217"/>
      <c r="AA39" s="217"/>
      <c r="AB39" s="217"/>
      <c r="AC39" s="217"/>
      <c r="AD39" s="217"/>
      <c r="AE39" s="355"/>
      <c r="AF39" s="217"/>
      <c r="AG39" s="217"/>
      <c r="AH39" s="217"/>
      <c r="AI39" s="217"/>
      <c r="AJ39" s="217"/>
      <c r="AK39" s="217"/>
      <c r="AL39" s="217"/>
      <c r="AM39" s="217"/>
      <c r="AN39" s="217"/>
      <c r="AO39" s="217"/>
      <c r="AP39" s="217"/>
      <c r="AQ39" s="217"/>
      <c r="AR39" s="217"/>
      <c r="AS39" s="217"/>
      <c r="AT39" s="355"/>
      <c r="AU39" s="217"/>
      <c r="AV39" s="217"/>
      <c r="AW39" s="217"/>
      <c r="AX39" s="217"/>
      <c r="AY39" s="217"/>
      <c r="AZ39" s="217"/>
      <c r="BA39" s="217"/>
      <c r="BB39" s="217"/>
      <c r="BC39" s="217"/>
      <c r="BD39" s="217"/>
      <c r="BE39" s="217"/>
      <c r="BF39" s="217"/>
      <c r="BG39" s="217"/>
      <c r="BH39" s="217"/>
    </row>
    <row r="40" spans="1:60">
      <c r="A40" s="254">
        <v>30</v>
      </c>
      <c r="B40" s="242"/>
      <c r="C40" s="243"/>
      <c r="D40" s="243"/>
      <c r="E40" s="357"/>
      <c r="F40" s="217"/>
      <c r="G40" s="217"/>
      <c r="H40" s="217"/>
      <c r="I40" s="217"/>
      <c r="J40" s="217"/>
      <c r="K40" s="217"/>
      <c r="L40" s="217"/>
      <c r="M40" s="217"/>
      <c r="N40" s="217"/>
      <c r="O40" s="217"/>
      <c r="P40" s="355"/>
      <c r="Q40" s="217"/>
      <c r="R40" s="217"/>
      <c r="S40" s="217"/>
      <c r="T40" s="217"/>
      <c r="U40" s="217"/>
      <c r="V40" s="217"/>
      <c r="W40" s="217"/>
      <c r="X40" s="217"/>
      <c r="Y40" s="217"/>
      <c r="Z40" s="217"/>
      <c r="AA40" s="217"/>
      <c r="AB40" s="217"/>
      <c r="AC40" s="217"/>
      <c r="AD40" s="217"/>
      <c r="AE40" s="355"/>
      <c r="AF40" s="217"/>
      <c r="AG40" s="217"/>
      <c r="AH40" s="217"/>
      <c r="AI40" s="217"/>
      <c r="AJ40" s="217"/>
      <c r="AK40" s="217"/>
      <c r="AL40" s="217"/>
      <c r="AM40" s="217"/>
      <c r="AN40" s="217"/>
      <c r="AO40" s="217"/>
      <c r="AP40" s="217"/>
      <c r="AQ40" s="217"/>
      <c r="AR40" s="217"/>
      <c r="AS40" s="217"/>
      <c r="AT40" s="355"/>
      <c r="AU40" s="217"/>
      <c r="AV40" s="217"/>
      <c r="AW40" s="217"/>
      <c r="AX40" s="217"/>
      <c r="AY40" s="217"/>
      <c r="AZ40" s="217"/>
      <c r="BA40" s="217"/>
      <c r="BB40" s="217"/>
      <c r="BC40" s="217"/>
      <c r="BD40" s="217"/>
      <c r="BE40" s="217"/>
      <c r="BF40" s="217"/>
      <c r="BG40" s="217"/>
      <c r="BH40" s="217"/>
    </row>
    <row r="41" spans="1:60">
      <c r="A41" s="254">
        <v>31</v>
      </c>
      <c r="B41" s="242"/>
      <c r="C41" s="243"/>
      <c r="D41" s="243"/>
      <c r="E41" s="357"/>
      <c r="F41" s="217"/>
      <c r="G41" s="217"/>
      <c r="H41" s="217"/>
      <c r="I41" s="217"/>
      <c r="J41" s="217"/>
      <c r="K41" s="217"/>
      <c r="L41" s="217"/>
      <c r="M41" s="217"/>
      <c r="N41" s="217"/>
      <c r="O41" s="217"/>
      <c r="P41" s="355"/>
      <c r="Q41" s="217"/>
      <c r="R41" s="217"/>
      <c r="S41" s="217"/>
      <c r="T41" s="217"/>
      <c r="U41" s="217"/>
      <c r="V41" s="217"/>
      <c r="W41" s="217"/>
      <c r="X41" s="217"/>
      <c r="Y41" s="217"/>
      <c r="Z41" s="217"/>
      <c r="AA41" s="217"/>
      <c r="AB41" s="217"/>
      <c r="AC41" s="217"/>
      <c r="AD41" s="217"/>
      <c r="AE41" s="355"/>
      <c r="AF41" s="217"/>
      <c r="AG41" s="217"/>
      <c r="AH41" s="217"/>
      <c r="AI41" s="217"/>
      <c r="AJ41" s="217"/>
      <c r="AK41" s="217"/>
      <c r="AL41" s="217"/>
      <c r="AM41" s="217"/>
      <c r="AN41" s="217"/>
      <c r="AO41" s="217"/>
      <c r="AP41" s="217"/>
      <c r="AQ41" s="217"/>
      <c r="AR41" s="217"/>
      <c r="AS41" s="217"/>
      <c r="AT41" s="355"/>
      <c r="AU41" s="217"/>
      <c r="AV41" s="217"/>
      <c r="AW41" s="217"/>
      <c r="AX41" s="217"/>
      <c r="AY41" s="217"/>
      <c r="AZ41" s="217"/>
      <c r="BA41" s="217"/>
      <c r="BB41" s="217"/>
      <c r="BC41" s="217"/>
      <c r="BD41" s="217"/>
      <c r="BE41" s="217"/>
      <c r="BF41" s="217"/>
      <c r="BG41" s="217"/>
      <c r="BH41" s="217"/>
    </row>
    <row r="42" spans="1:60">
      <c r="A42" s="254">
        <v>32</v>
      </c>
      <c r="B42" s="242"/>
      <c r="C42" s="243"/>
      <c r="D42" s="243"/>
      <c r="E42" s="357"/>
      <c r="F42" s="217"/>
      <c r="G42" s="217"/>
      <c r="H42" s="217"/>
      <c r="I42" s="217"/>
      <c r="J42" s="217"/>
      <c r="K42" s="217"/>
      <c r="L42" s="217"/>
      <c r="M42" s="217"/>
      <c r="N42" s="217"/>
      <c r="O42" s="217"/>
      <c r="P42" s="355"/>
      <c r="Q42" s="217"/>
      <c r="R42" s="217"/>
      <c r="S42" s="217"/>
      <c r="T42" s="217"/>
      <c r="U42" s="217"/>
      <c r="V42" s="217"/>
      <c r="W42" s="217"/>
      <c r="X42" s="217"/>
      <c r="Y42" s="217"/>
      <c r="Z42" s="217"/>
      <c r="AA42" s="217"/>
      <c r="AB42" s="217"/>
      <c r="AC42" s="217"/>
      <c r="AD42" s="217"/>
      <c r="AE42" s="355"/>
      <c r="AF42" s="217"/>
      <c r="AG42" s="217"/>
      <c r="AH42" s="217"/>
      <c r="AI42" s="217"/>
      <c r="AJ42" s="217"/>
      <c r="AK42" s="217"/>
      <c r="AL42" s="217"/>
      <c r="AM42" s="217"/>
      <c r="AN42" s="217"/>
      <c r="AO42" s="217"/>
      <c r="AP42" s="217"/>
      <c r="AQ42" s="217"/>
      <c r="AR42" s="217"/>
      <c r="AS42" s="217"/>
      <c r="AT42" s="355"/>
      <c r="AU42" s="217"/>
      <c r="AV42" s="217"/>
      <c r="AW42" s="217"/>
      <c r="AX42" s="217"/>
      <c r="AY42" s="217"/>
      <c r="AZ42" s="217"/>
      <c r="BA42" s="217"/>
      <c r="BB42" s="217"/>
      <c r="BC42" s="217"/>
      <c r="BD42" s="217"/>
      <c r="BE42" s="217"/>
      <c r="BF42" s="217"/>
      <c r="BG42" s="217"/>
      <c r="BH42" s="217"/>
    </row>
    <row r="43" spans="1:60">
      <c r="A43" s="254">
        <v>33</v>
      </c>
      <c r="B43" s="242"/>
      <c r="C43" s="243"/>
      <c r="D43" s="243"/>
      <c r="E43" s="357"/>
      <c r="F43" s="217"/>
      <c r="G43" s="217"/>
      <c r="H43" s="217"/>
      <c r="I43" s="217"/>
      <c r="J43" s="217"/>
      <c r="K43" s="217"/>
      <c r="L43" s="217"/>
      <c r="M43" s="217"/>
      <c r="N43" s="217"/>
      <c r="O43" s="217"/>
      <c r="P43" s="355"/>
      <c r="Q43" s="217"/>
      <c r="R43" s="217"/>
      <c r="S43" s="217"/>
      <c r="T43" s="217"/>
      <c r="U43" s="217"/>
      <c r="V43" s="217"/>
      <c r="W43" s="217"/>
      <c r="X43" s="217"/>
      <c r="Y43" s="217"/>
      <c r="Z43" s="217"/>
      <c r="AA43" s="217"/>
      <c r="AB43" s="217"/>
      <c r="AC43" s="217"/>
      <c r="AD43" s="217"/>
      <c r="AE43" s="355"/>
      <c r="AF43" s="217"/>
      <c r="AG43" s="217"/>
      <c r="AH43" s="217"/>
      <c r="AI43" s="217"/>
      <c r="AJ43" s="217"/>
      <c r="AK43" s="217"/>
      <c r="AL43" s="217"/>
      <c r="AM43" s="217"/>
      <c r="AN43" s="217"/>
      <c r="AO43" s="217"/>
      <c r="AP43" s="217"/>
      <c r="AQ43" s="217"/>
      <c r="AR43" s="217"/>
      <c r="AS43" s="217"/>
      <c r="AT43" s="355"/>
      <c r="AU43" s="217"/>
      <c r="AV43" s="217"/>
      <c r="AW43" s="217"/>
      <c r="AX43" s="217"/>
      <c r="AY43" s="217"/>
      <c r="AZ43" s="217"/>
      <c r="BA43" s="217"/>
      <c r="BB43" s="217"/>
      <c r="BC43" s="217"/>
      <c r="BD43" s="217"/>
      <c r="BE43" s="217"/>
      <c r="BF43" s="217"/>
      <c r="BG43" s="217"/>
      <c r="BH43" s="217"/>
    </row>
    <row r="44" spans="1:60">
      <c r="A44" s="254">
        <v>34</v>
      </c>
      <c r="B44" s="242"/>
      <c r="C44" s="243"/>
      <c r="D44" s="243"/>
      <c r="E44" s="357"/>
      <c r="F44" s="217"/>
      <c r="G44" s="217"/>
      <c r="H44" s="217"/>
      <c r="I44" s="217"/>
      <c r="J44" s="217"/>
      <c r="K44" s="217"/>
      <c r="L44" s="217"/>
      <c r="M44" s="217"/>
      <c r="N44" s="217"/>
      <c r="O44" s="217"/>
      <c r="P44" s="355"/>
      <c r="Q44" s="217"/>
      <c r="R44" s="217"/>
      <c r="S44" s="217"/>
      <c r="T44" s="217"/>
      <c r="U44" s="217"/>
      <c r="V44" s="217"/>
      <c r="W44" s="217"/>
      <c r="X44" s="217"/>
      <c r="Y44" s="217"/>
      <c r="Z44" s="217"/>
      <c r="AA44" s="217"/>
      <c r="AB44" s="217"/>
      <c r="AC44" s="217"/>
      <c r="AD44" s="217"/>
      <c r="AE44" s="355"/>
      <c r="AF44" s="217"/>
      <c r="AG44" s="217"/>
      <c r="AH44" s="217"/>
      <c r="AI44" s="217"/>
      <c r="AJ44" s="217"/>
      <c r="AK44" s="217"/>
      <c r="AL44" s="217"/>
      <c r="AM44" s="217"/>
      <c r="AN44" s="217"/>
      <c r="AO44" s="217"/>
      <c r="AP44" s="217"/>
      <c r="AQ44" s="217"/>
      <c r="AR44" s="217"/>
      <c r="AS44" s="217"/>
      <c r="AT44" s="355"/>
      <c r="AU44" s="217"/>
      <c r="AV44" s="217"/>
      <c r="AW44" s="217"/>
      <c r="AX44" s="217"/>
      <c r="AY44" s="217"/>
      <c r="AZ44" s="217"/>
      <c r="BA44" s="217"/>
      <c r="BB44" s="217"/>
      <c r="BC44" s="217"/>
      <c r="BD44" s="217"/>
      <c r="BE44" s="217"/>
      <c r="BF44" s="217"/>
      <c r="BG44" s="217"/>
      <c r="BH44" s="217"/>
    </row>
    <row r="45" spans="1:60">
      <c r="A45" s="254">
        <v>35</v>
      </c>
      <c r="B45" s="242"/>
      <c r="C45" s="243"/>
      <c r="D45" s="243"/>
      <c r="E45" s="357"/>
      <c r="F45" s="217"/>
      <c r="G45" s="217"/>
      <c r="H45" s="217"/>
      <c r="I45" s="217"/>
      <c r="J45" s="217"/>
      <c r="K45" s="217"/>
      <c r="L45" s="217"/>
      <c r="M45" s="217"/>
      <c r="N45" s="217"/>
      <c r="O45" s="217"/>
      <c r="P45" s="355"/>
      <c r="Q45" s="217"/>
      <c r="R45" s="217"/>
      <c r="S45" s="217"/>
      <c r="T45" s="217"/>
      <c r="U45" s="217"/>
      <c r="V45" s="217"/>
      <c r="W45" s="217"/>
      <c r="X45" s="217"/>
      <c r="Y45" s="217"/>
      <c r="Z45" s="217"/>
      <c r="AA45" s="217"/>
      <c r="AB45" s="217"/>
      <c r="AC45" s="217"/>
      <c r="AD45" s="217"/>
      <c r="AE45" s="355"/>
      <c r="AF45" s="217"/>
      <c r="AG45" s="217"/>
      <c r="AH45" s="217"/>
      <c r="AI45" s="217"/>
      <c r="AJ45" s="217"/>
      <c r="AK45" s="217"/>
      <c r="AL45" s="217"/>
      <c r="AM45" s="217"/>
      <c r="AN45" s="217"/>
      <c r="AO45" s="217"/>
      <c r="AP45" s="217"/>
      <c r="AQ45" s="217"/>
      <c r="AR45" s="217"/>
      <c r="AS45" s="217"/>
      <c r="AT45" s="355"/>
      <c r="AU45" s="217"/>
      <c r="AV45" s="217"/>
      <c r="AW45" s="217"/>
      <c r="AX45" s="217"/>
      <c r="AY45" s="217"/>
      <c r="AZ45" s="217"/>
      <c r="BA45" s="217"/>
      <c r="BB45" s="217"/>
      <c r="BC45" s="217"/>
      <c r="BD45" s="217"/>
      <c r="BE45" s="217"/>
      <c r="BF45" s="217"/>
      <c r="BG45" s="217"/>
      <c r="BH45" s="217"/>
    </row>
    <row r="46" spans="1:60">
      <c r="A46" s="254">
        <v>36</v>
      </c>
      <c r="B46" s="242"/>
      <c r="C46" s="243"/>
      <c r="D46" s="243"/>
      <c r="E46" s="357"/>
      <c r="F46" s="217"/>
      <c r="G46" s="217"/>
      <c r="H46" s="217"/>
      <c r="I46" s="217"/>
      <c r="J46" s="217"/>
      <c r="K46" s="217"/>
      <c r="L46" s="217"/>
      <c r="M46" s="217"/>
      <c r="N46" s="217"/>
      <c r="O46" s="217"/>
      <c r="P46" s="355"/>
      <c r="Q46" s="217"/>
      <c r="R46" s="217"/>
      <c r="S46" s="217"/>
      <c r="T46" s="217"/>
      <c r="U46" s="217"/>
      <c r="V46" s="217"/>
      <c r="W46" s="217"/>
      <c r="X46" s="217"/>
      <c r="Y46" s="217"/>
      <c r="Z46" s="217"/>
      <c r="AA46" s="217"/>
      <c r="AB46" s="217"/>
      <c r="AC46" s="217"/>
      <c r="AD46" s="217"/>
      <c r="AE46" s="355"/>
      <c r="AF46" s="217"/>
      <c r="AG46" s="217"/>
      <c r="AH46" s="217"/>
      <c r="AI46" s="217"/>
      <c r="AJ46" s="217"/>
      <c r="AK46" s="217"/>
      <c r="AL46" s="217"/>
      <c r="AM46" s="217"/>
      <c r="AN46" s="217"/>
      <c r="AO46" s="217"/>
      <c r="AP46" s="217"/>
      <c r="AQ46" s="217"/>
      <c r="AR46" s="217"/>
      <c r="AS46" s="217"/>
      <c r="AT46" s="355"/>
      <c r="AU46" s="217"/>
      <c r="AV46" s="217"/>
      <c r="AW46" s="217"/>
      <c r="AX46" s="217"/>
      <c r="AY46" s="217"/>
      <c r="AZ46" s="217"/>
      <c r="BA46" s="217"/>
      <c r="BB46" s="217"/>
      <c r="BC46" s="217"/>
      <c r="BD46" s="217"/>
      <c r="BE46" s="217"/>
      <c r="BF46" s="217"/>
      <c r="BG46" s="217"/>
      <c r="BH46" s="217"/>
    </row>
    <row r="47" spans="1:60">
      <c r="A47" s="254">
        <v>37</v>
      </c>
      <c r="B47" s="242"/>
      <c r="C47" s="243"/>
      <c r="D47" s="243"/>
      <c r="E47" s="357"/>
      <c r="F47" s="217"/>
      <c r="G47" s="217"/>
      <c r="H47" s="217"/>
      <c r="I47" s="217"/>
      <c r="J47" s="217"/>
      <c r="K47" s="217"/>
      <c r="L47" s="217"/>
      <c r="M47" s="217"/>
      <c r="N47" s="217"/>
      <c r="O47" s="217"/>
      <c r="P47" s="355"/>
      <c r="Q47" s="217"/>
      <c r="R47" s="217"/>
      <c r="S47" s="217"/>
      <c r="T47" s="217"/>
      <c r="U47" s="217"/>
      <c r="V47" s="217"/>
      <c r="W47" s="217"/>
      <c r="X47" s="217"/>
      <c r="Y47" s="217"/>
      <c r="Z47" s="217"/>
      <c r="AA47" s="217"/>
      <c r="AB47" s="217"/>
      <c r="AC47" s="217"/>
      <c r="AD47" s="217"/>
      <c r="AE47" s="355"/>
      <c r="AF47" s="217"/>
      <c r="AG47" s="217"/>
      <c r="AH47" s="217"/>
      <c r="AI47" s="217"/>
      <c r="AJ47" s="217"/>
      <c r="AK47" s="217"/>
      <c r="AL47" s="217"/>
      <c r="AM47" s="217"/>
      <c r="AN47" s="217"/>
      <c r="AO47" s="217"/>
      <c r="AP47" s="217"/>
      <c r="AQ47" s="217"/>
      <c r="AR47" s="217"/>
      <c r="AS47" s="217"/>
      <c r="AT47" s="355"/>
      <c r="AU47" s="217"/>
      <c r="AV47" s="217"/>
      <c r="AW47" s="217"/>
      <c r="AX47" s="217"/>
      <c r="AY47" s="217"/>
      <c r="AZ47" s="217"/>
      <c r="BA47" s="217"/>
      <c r="BB47" s="217"/>
      <c r="BC47" s="217"/>
      <c r="BD47" s="217"/>
      <c r="BE47" s="217"/>
      <c r="BF47" s="217"/>
      <c r="BG47" s="217"/>
      <c r="BH47" s="217"/>
    </row>
    <row r="48" spans="1:60">
      <c r="A48" s="254">
        <v>38</v>
      </c>
      <c r="B48" s="242"/>
      <c r="C48" s="243"/>
      <c r="D48" s="243"/>
      <c r="E48" s="357"/>
      <c r="F48" s="217"/>
      <c r="G48" s="217"/>
      <c r="H48" s="217"/>
      <c r="I48" s="217"/>
      <c r="J48" s="217"/>
      <c r="K48" s="217"/>
      <c r="L48" s="217"/>
      <c r="M48" s="217"/>
      <c r="N48" s="217"/>
      <c r="O48" s="217"/>
      <c r="P48" s="355"/>
      <c r="Q48" s="217"/>
      <c r="R48" s="217"/>
      <c r="S48" s="217"/>
      <c r="T48" s="217"/>
      <c r="U48" s="217"/>
      <c r="V48" s="217"/>
      <c r="W48" s="217"/>
      <c r="X48" s="217"/>
      <c r="Y48" s="217"/>
      <c r="Z48" s="217"/>
      <c r="AA48" s="217"/>
      <c r="AB48" s="217"/>
      <c r="AC48" s="217"/>
      <c r="AD48" s="217"/>
      <c r="AE48" s="355"/>
      <c r="AF48" s="217"/>
      <c r="AG48" s="217"/>
      <c r="AH48" s="217"/>
      <c r="AI48" s="217"/>
      <c r="AJ48" s="217"/>
      <c r="AK48" s="217"/>
      <c r="AL48" s="217"/>
      <c r="AM48" s="217"/>
      <c r="AN48" s="217"/>
      <c r="AO48" s="217"/>
      <c r="AP48" s="217"/>
      <c r="AQ48" s="217"/>
      <c r="AR48" s="217"/>
      <c r="AS48" s="217"/>
      <c r="AT48" s="355"/>
      <c r="AU48" s="217"/>
      <c r="AV48" s="217"/>
      <c r="AW48" s="217"/>
      <c r="AX48" s="217"/>
      <c r="AY48" s="217"/>
      <c r="AZ48" s="217"/>
      <c r="BA48" s="217"/>
      <c r="BB48" s="217"/>
      <c r="BC48" s="217"/>
      <c r="BD48" s="217"/>
      <c r="BE48" s="217"/>
      <c r="BF48" s="217"/>
      <c r="BG48" s="217"/>
      <c r="BH48" s="217"/>
    </row>
    <row r="49" spans="1:60">
      <c r="A49" s="254">
        <v>39</v>
      </c>
      <c r="B49" s="242"/>
      <c r="C49" s="243"/>
      <c r="D49" s="243"/>
      <c r="E49" s="357"/>
      <c r="F49" s="217"/>
      <c r="G49" s="217"/>
      <c r="H49" s="217"/>
      <c r="I49" s="217"/>
      <c r="J49" s="217"/>
      <c r="K49" s="217"/>
      <c r="L49" s="217"/>
      <c r="M49" s="217"/>
      <c r="N49" s="217"/>
      <c r="O49" s="217"/>
      <c r="P49" s="355"/>
      <c r="Q49" s="217"/>
      <c r="R49" s="217"/>
      <c r="S49" s="217"/>
      <c r="T49" s="217"/>
      <c r="U49" s="217"/>
      <c r="V49" s="217"/>
      <c r="W49" s="217"/>
      <c r="X49" s="217"/>
      <c r="Y49" s="217"/>
      <c r="Z49" s="217"/>
      <c r="AA49" s="217"/>
      <c r="AB49" s="217"/>
      <c r="AC49" s="217"/>
      <c r="AD49" s="217"/>
      <c r="AE49" s="355"/>
      <c r="AF49" s="217"/>
      <c r="AG49" s="217"/>
      <c r="AH49" s="217"/>
      <c r="AI49" s="217"/>
      <c r="AJ49" s="217"/>
      <c r="AK49" s="217"/>
      <c r="AL49" s="217"/>
      <c r="AM49" s="217"/>
      <c r="AN49" s="217"/>
      <c r="AO49" s="217"/>
      <c r="AP49" s="217"/>
      <c r="AQ49" s="217"/>
      <c r="AR49" s="217"/>
      <c r="AS49" s="217"/>
      <c r="AT49" s="355"/>
      <c r="AU49" s="217"/>
      <c r="AV49" s="217"/>
      <c r="AW49" s="217"/>
      <c r="AX49" s="217"/>
      <c r="AY49" s="217"/>
      <c r="AZ49" s="217"/>
      <c r="BA49" s="217"/>
      <c r="BB49" s="217"/>
      <c r="BC49" s="217"/>
      <c r="BD49" s="217"/>
      <c r="BE49" s="217"/>
      <c r="BF49" s="217"/>
      <c r="BG49" s="217"/>
      <c r="BH49" s="217"/>
    </row>
    <row r="50" spans="1:60">
      <c r="A50" s="254">
        <v>40</v>
      </c>
      <c r="B50" s="242"/>
      <c r="C50" s="243"/>
      <c r="D50" s="243"/>
      <c r="E50" s="357"/>
      <c r="F50" s="217"/>
      <c r="G50" s="217"/>
      <c r="H50" s="217"/>
      <c r="I50" s="217"/>
      <c r="J50" s="217"/>
      <c r="K50" s="217"/>
      <c r="L50" s="217"/>
      <c r="M50" s="217"/>
      <c r="N50" s="217"/>
      <c r="O50" s="217"/>
      <c r="P50" s="355"/>
      <c r="Q50" s="217"/>
      <c r="R50" s="217"/>
      <c r="S50" s="217"/>
      <c r="T50" s="217"/>
      <c r="U50" s="217"/>
      <c r="V50" s="217"/>
      <c r="W50" s="217"/>
      <c r="X50" s="217"/>
      <c r="Y50" s="217"/>
      <c r="Z50" s="217"/>
      <c r="AA50" s="217"/>
      <c r="AB50" s="217"/>
      <c r="AC50" s="217"/>
      <c r="AD50" s="217"/>
      <c r="AE50" s="355"/>
      <c r="AF50" s="217"/>
      <c r="AG50" s="217"/>
      <c r="AH50" s="217"/>
      <c r="AI50" s="217"/>
      <c r="AJ50" s="217"/>
      <c r="AK50" s="217"/>
      <c r="AL50" s="217"/>
      <c r="AM50" s="217"/>
      <c r="AN50" s="217"/>
      <c r="AO50" s="217"/>
      <c r="AP50" s="217"/>
      <c r="AQ50" s="217"/>
      <c r="AR50" s="217"/>
      <c r="AS50" s="217"/>
      <c r="AT50" s="355"/>
      <c r="AU50" s="217"/>
      <c r="AV50" s="217"/>
      <c r="AW50" s="217"/>
      <c r="AX50" s="217"/>
      <c r="AY50" s="217"/>
      <c r="AZ50" s="217"/>
      <c r="BA50" s="217"/>
      <c r="BB50" s="217"/>
      <c r="BC50" s="217"/>
      <c r="BD50" s="217"/>
      <c r="BE50" s="217"/>
      <c r="BF50" s="217"/>
      <c r="BG50" s="217"/>
      <c r="BH50" s="217"/>
    </row>
    <row r="51" spans="1:60">
      <c r="A51" s="254">
        <v>41</v>
      </c>
      <c r="B51" s="242"/>
      <c r="C51" s="243"/>
      <c r="D51" s="243"/>
      <c r="E51" s="357"/>
      <c r="F51" s="217"/>
      <c r="G51" s="217"/>
      <c r="H51" s="217"/>
      <c r="I51" s="217"/>
      <c r="J51" s="217"/>
      <c r="K51" s="217"/>
      <c r="L51" s="217"/>
      <c r="M51" s="217"/>
      <c r="N51" s="217"/>
      <c r="O51" s="217"/>
      <c r="P51" s="355"/>
      <c r="Q51" s="217"/>
      <c r="R51" s="217"/>
      <c r="S51" s="217"/>
      <c r="T51" s="217"/>
      <c r="U51" s="217"/>
      <c r="V51" s="217"/>
      <c r="W51" s="217"/>
      <c r="X51" s="217"/>
      <c r="Y51" s="217"/>
      <c r="Z51" s="217"/>
      <c r="AA51" s="217"/>
      <c r="AB51" s="217"/>
      <c r="AC51" s="217"/>
      <c r="AD51" s="217"/>
      <c r="AE51" s="355"/>
      <c r="AF51" s="217"/>
      <c r="AG51" s="217"/>
      <c r="AH51" s="217"/>
      <c r="AI51" s="217"/>
      <c r="AJ51" s="217"/>
      <c r="AK51" s="217"/>
      <c r="AL51" s="217"/>
      <c r="AM51" s="217"/>
      <c r="AN51" s="217"/>
      <c r="AO51" s="217"/>
      <c r="AP51" s="217"/>
      <c r="AQ51" s="217"/>
      <c r="AR51" s="217"/>
      <c r="AS51" s="217"/>
      <c r="AT51" s="355"/>
      <c r="AU51" s="217"/>
      <c r="AV51" s="217"/>
      <c r="AW51" s="217"/>
      <c r="AX51" s="217"/>
      <c r="AY51" s="217"/>
      <c r="AZ51" s="217"/>
      <c r="BA51" s="217"/>
      <c r="BB51" s="217"/>
      <c r="BC51" s="217"/>
      <c r="BD51" s="217"/>
      <c r="BE51" s="217"/>
      <c r="BF51" s="217"/>
      <c r="BG51" s="217"/>
      <c r="BH51" s="217"/>
    </row>
    <row r="52" spans="1:60">
      <c r="A52" s="254">
        <v>42</v>
      </c>
      <c r="B52" s="242"/>
      <c r="C52" s="243"/>
      <c r="D52" s="243"/>
      <c r="E52" s="357"/>
      <c r="F52" s="217"/>
      <c r="G52" s="217"/>
      <c r="H52" s="217"/>
      <c r="I52" s="217"/>
      <c r="J52" s="217"/>
      <c r="K52" s="217"/>
      <c r="L52" s="217"/>
      <c r="M52" s="217"/>
      <c r="N52" s="217"/>
      <c r="O52" s="217"/>
      <c r="P52" s="355"/>
      <c r="Q52" s="217"/>
      <c r="R52" s="217"/>
      <c r="S52" s="217"/>
      <c r="T52" s="217"/>
      <c r="U52" s="217"/>
      <c r="V52" s="217"/>
      <c r="W52" s="217"/>
      <c r="X52" s="217"/>
      <c r="Y52" s="217"/>
      <c r="Z52" s="217"/>
      <c r="AA52" s="217"/>
      <c r="AB52" s="217"/>
      <c r="AC52" s="217"/>
      <c r="AD52" s="217"/>
      <c r="AE52" s="355"/>
      <c r="AF52" s="217"/>
      <c r="AG52" s="217"/>
      <c r="AH52" s="217"/>
      <c r="AI52" s="217"/>
      <c r="AJ52" s="217"/>
      <c r="AK52" s="217"/>
      <c r="AL52" s="217"/>
      <c r="AM52" s="217"/>
      <c r="AN52" s="217"/>
      <c r="AO52" s="217"/>
      <c r="AP52" s="217"/>
      <c r="AQ52" s="217"/>
      <c r="AR52" s="217"/>
      <c r="AS52" s="217"/>
      <c r="AT52" s="355"/>
      <c r="AU52" s="217"/>
      <c r="AV52" s="217"/>
      <c r="AW52" s="217"/>
      <c r="AX52" s="217"/>
      <c r="AY52" s="217"/>
      <c r="AZ52" s="217"/>
      <c r="BA52" s="217"/>
      <c r="BB52" s="217"/>
      <c r="BC52" s="217"/>
      <c r="BD52" s="217"/>
      <c r="BE52" s="217"/>
      <c r="BF52" s="217"/>
      <c r="BG52" s="217"/>
      <c r="BH52" s="217"/>
    </row>
    <row r="53" spans="1:60">
      <c r="A53" s="254">
        <v>43</v>
      </c>
      <c r="B53" s="242"/>
      <c r="C53" s="243"/>
      <c r="D53" s="243"/>
      <c r="E53" s="357"/>
      <c r="F53" s="217"/>
      <c r="G53" s="217"/>
      <c r="H53" s="217"/>
      <c r="I53" s="217"/>
      <c r="J53" s="217"/>
      <c r="K53" s="217"/>
      <c r="L53" s="217"/>
      <c r="M53" s="217"/>
      <c r="N53" s="217"/>
      <c r="O53" s="217"/>
      <c r="P53" s="355"/>
      <c r="Q53" s="217"/>
      <c r="R53" s="217"/>
      <c r="S53" s="217"/>
      <c r="T53" s="217"/>
      <c r="U53" s="217"/>
      <c r="V53" s="217"/>
      <c r="W53" s="217"/>
      <c r="X53" s="217"/>
      <c r="Y53" s="217"/>
      <c r="Z53" s="217"/>
      <c r="AA53" s="217"/>
      <c r="AB53" s="217"/>
      <c r="AC53" s="217"/>
      <c r="AD53" s="217"/>
      <c r="AE53" s="355"/>
      <c r="AF53" s="217"/>
      <c r="AG53" s="217"/>
      <c r="AH53" s="217"/>
      <c r="AI53" s="217"/>
      <c r="AJ53" s="217"/>
      <c r="AK53" s="217"/>
      <c r="AL53" s="217"/>
      <c r="AM53" s="217"/>
      <c r="AN53" s="217"/>
      <c r="AO53" s="217"/>
      <c r="AP53" s="217"/>
      <c r="AQ53" s="217"/>
      <c r="AR53" s="217"/>
      <c r="AS53" s="217"/>
      <c r="AT53" s="355"/>
      <c r="AU53" s="217"/>
      <c r="AV53" s="217"/>
      <c r="AW53" s="217"/>
      <c r="AX53" s="217"/>
      <c r="AY53" s="217"/>
      <c r="AZ53" s="217"/>
      <c r="BA53" s="217"/>
      <c r="BB53" s="217"/>
      <c r="BC53" s="217"/>
      <c r="BD53" s="217"/>
      <c r="BE53" s="217"/>
      <c r="BF53" s="217"/>
      <c r="BG53" s="217"/>
      <c r="BH53" s="217"/>
    </row>
    <row r="54" spans="1:60">
      <c r="A54" s="254">
        <v>44</v>
      </c>
      <c r="B54" s="242"/>
      <c r="C54" s="243"/>
      <c r="D54" s="243"/>
      <c r="E54" s="357"/>
      <c r="F54" s="217"/>
      <c r="G54" s="217"/>
      <c r="H54" s="217"/>
      <c r="I54" s="217"/>
      <c r="J54" s="217"/>
      <c r="K54" s="217"/>
      <c r="L54" s="217"/>
      <c r="M54" s="217"/>
      <c r="N54" s="217"/>
      <c r="O54" s="217"/>
      <c r="P54" s="355"/>
      <c r="Q54" s="217"/>
      <c r="R54" s="217"/>
      <c r="S54" s="217"/>
      <c r="T54" s="217"/>
      <c r="U54" s="217"/>
      <c r="V54" s="217"/>
      <c r="W54" s="217"/>
      <c r="X54" s="217"/>
      <c r="Y54" s="217"/>
      <c r="Z54" s="217"/>
      <c r="AA54" s="217"/>
      <c r="AB54" s="217"/>
      <c r="AC54" s="217"/>
      <c r="AD54" s="217"/>
      <c r="AE54" s="355"/>
      <c r="AF54" s="217"/>
      <c r="AG54" s="217"/>
      <c r="AH54" s="217"/>
      <c r="AI54" s="217"/>
      <c r="AJ54" s="217"/>
      <c r="AK54" s="217"/>
      <c r="AL54" s="217"/>
      <c r="AM54" s="217"/>
      <c r="AN54" s="217"/>
      <c r="AO54" s="217"/>
      <c r="AP54" s="217"/>
      <c r="AQ54" s="217"/>
      <c r="AR54" s="217"/>
      <c r="AS54" s="217"/>
      <c r="AT54" s="355"/>
      <c r="AU54" s="217"/>
      <c r="AV54" s="217"/>
      <c r="AW54" s="217"/>
      <c r="AX54" s="217"/>
      <c r="AY54" s="217"/>
      <c r="AZ54" s="217"/>
      <c r="BA54" s="217"/>
      <c r="BB54" s="217"/>
      <c r="BC54" s="217"/>
      <c r="BD54" s="217"/>
      <c r="BE54" s="217"/>
      <c r="BF54" s="217"/>
      <c r="BG54" s="217"/>
      <c r="BH54" s="217"/>
    </row>
    <row r="55" spans="1:60">
      <c r="A55" s="254">
        <v>45</v>
      </c>
      <c r="B55" s="242"/>
      <c r="C55" s="243"/>
      <c r="D55" s="243"/>
      <c r="E55" s="357"/>
      <c r="F55" s="217"/>
      <c r="G55" s="217"/>
      <c r="H55" s="217"/>
      <c r="I55" s="217"/>
      <c r="J55" s="217"/>
      <c r="K55" s="217"/>
      <c r="L55" s="217"/>
      <c r="M55" s="217"/>
      <c r="N55" s="217"/>
      <c r="O55" s="217"/>
      <c r="P55" s="355"/>
      <c r="Q55" s="217"/>
      <c r="R55" s="217"/>
      <c r="S55" s="217"/>
      <c r="T55" s="217"/>
      <c r="U55" s="217"/>
      <c r="V55" s="217"/>
      <c r="W55" s="217"/>
      <c r="X55" s="217"/>
      <c r="Y55" s="217"/>
      <c r="Z55" s="217"/>
      <c r="AA55" s="217"/>
      <c r="AB55" s="217"/>
      <c r="AC55" s="217"/>
      <c r="AD55" s="217"/>
      <c r="AE55" s="355"/>
      <c r="AF55" s="217"/>
      <c r="AG55" s="217"/>
      <c r="AH55" s="217"/>
      <c r="AI55" s="217"/>
      <c r="AJ55" s="217"/>
      <c r="AK55" s="217"/>
      <c r="AL55" s="217"/>
      <c r="AM55" s="217"/>
      <c r="AN55" s="217"/>
      <c r="AO55" s="217"/>
      <c r="AP55" s="217"/>
      <c r="AQ55" s="217"/>
      <c r="AR55" s="217"/>
      <c r="AS55" s="217"/>
      <c r="AT55" s="355"/>
      <c r="AU55" s="217"/>
      <c r="AV55" s="217"/>
      <c r="AW55" s="217"/>
      <c r="AX55" s="217"/>
      <c r="AY55" s="217"/>
      <c r="AZ55" s="217"/>
      <c r="BA55" s="217"/>
      <c r="BB55" s="217"/>
      <c r="BC55" s="217"/>
      <c r="BD55" s="217"/>
      <c r="BE55" s="217"/>
      <c r="BF55" s="217"/>
      <c r="BG55" s="217"/>
      <c r="BH55" s="217"/>
    </row>
    <row r="56" spans="1:60">
      <c r="A56" s="254">
        <v>46</v>
      </c>
      <c r="B56" s="242"/>
      <c r="C56" s="243"/>
      <c r="D56" s="243"/>
      <c r="E56" s="357"/>
      <c r="F56" s="217"/>
      <c r="G56" s="217"/>
      <c r="H56" s="217"/>
      <c r="I56" s="217"/>
      <c r="J56" s="217"/>
      <c r="K56" s="217"/>
      <c r="L56" s="217"/>
      <c r="M56" s="217"/>
      <c r="N56" s="217"/>
      <c r="O56" s="217"/>
      <c r="P56" s="355"/>
      <c r="Q56" s="217"/>
      <c r="R56" s="217"/>
      <c r="S56" s="217"/>
      <c r="T56" s="217"/>
      <c r="U56" s="217"/>
      <c r="V56" s="217"/>
      <c r="W56" s="217"/>
      <c r="X56" s="217"/>
      <c r="Y56" s="217"/>
      <c r="Z56" s="217"/>
      <c r="AA56" s="217"/>
      <c r="AB56" s="217"/>
      <c r="AC56" s="217"/>
      <c r="AD56" s="217"/>
      <c r="AE56" s="355"/>
      <c r="AF56" s="217"/>
      <c r="AG56" s="217"/>
      <c r="AH56" s="217"/>
      <c r="AI56" s="217"/>
      <c r="AJ56" s="217"/>
      <c r="AK56" s="217"/>
      <c r="AL56" s="217"/>
      <c r="AM56" s="217"/>
      <c r="AN56" s="217"/>
      <c r="AO56" s="217"/>
      <c r="AP56" s="217"/>
      <c r="AQ56" s="217"/>
      <c r="AR56" s="217"/>
      <c r="AS56" s="217"/>
      <c r="AT56" s="355"/>
      <c r="AU56" s="217"/>
      <c r="AV56" s="217"/>
      <c r="AW56" s="217"/>
      <c r="AX56" s="217"/>
      <c r="AY56" s="217"/>
      <c r="AZ56" s="217"/>
      <c r="BA56" s="217"/>
      <c r="BB56" s="217"/>
      <c r="BC56" s="217"/>
      <c r="BD56" s="217"/>
      <c r="BE56" s="217"/>
      <c r="BF56" s="217"/>
      <c r="BG56" s="217"/>
      <c r="BH56" s="217"/>
    </row>
    <row r="57" spans="1:60">
      <c r="A57" s="254">
        <v>47</v>
      </c>
      <c r="B57" s="242"/>
      <c r="C57" s="243"/>
      <c r="D57" s="243"/>
      <c r="E57" s="357"/>
      <c r="F57" s="217"/>
      <c r="G57" s="217"/>
      <c r="H57" s="217"/>
      <c r="I57" s="217"/>
      <c r="J57" s="217"/>
      <c r="K57" s="217"/>
      <c r="L57" s="217"/>
      <c r="M57" s="217"/>
      <c r="N57" s="217"/>
      <c r="O57" s="217"/>
      <c r="P57" s="355"/>
      <c r="Q57" s="217"/>
      <c r="R57" s="217"/>
      <c r="S57" s="217"/>
      <c r="T57" s="217"/>
      <c r="U57" s="217"/>
      <c r="V57" s="217"/>
      <c r="W57" s="217"/>
      <c r="X57" s="217"/>
      <c r="Y57" s="217"/>
      <c r="Z57" s="217"/>
      <c r="AA57" s="217"/>
      <c r="AB57" s="217"/>
      <c r="AC57" s="217"/>
      <c r="AD57" s="217"/>
      <c r="AE57" s="355"/>
      <c r="AF57" s="217"/>
      <c r="AG57" s="217"/>
      <c r="AH57" s="217"/>
      <c r="AI57" s="217"/>
      <c r="AJ57" s="217"/>
      <c r="AK57" s="217"/>
      <c r="AL57" s="217"/>
      <c r="AM57" s="217"/>
      <c r="AN57" s="217"/>
      <c r="AO57" s="217"/>
      <c r="AP57" s="217"/>
      <c r="AQ57" s="217"/>
      <c r="AR57" s="217"/>
      <c r="AS57" s="217"/>
      <c r="AT57" s="355"/>
      <c r="AU57" s="217"/>
      <c r="AV57" s="217"/>
      <c r="AW57" s="217"/>
      <c r="AX57" s="217"/>
      <c r="AY57" s="217"/>
      <c r="AZ57" s="217"/>
      <c r="BA57" s="217"/>
      <c r="BB57" s="217"/>
      <c r="BC57" s="217"/>
      <c r="BD57" s="217"/>
      <c r="BE57" s="217"/>
      <c r="BF57" s="217"/>
      <c r="BG57" s="217"/>
      <c r="BH57" s="217"/>
    </row>
    <row r="58" spans="1:60">
      <c r="A58" s="254">
        <v>48</v>
      </c>
      <c r="B58" s="242"/>
      <c r="C58" s="243"/>
      <c r="D58" s="243"/>
      <c r="E58" s="357"/>
      <c r="F58" s="217"/>
      <c r="G58" s="217"/>
      <c r="H58" s="217"/>
      <c r="I58" s="217"/>
      <c r="J58" s="217"/>
      <c r="K58" s="217"/>
      <c r="L58" s="217"/>
      <c r="M58" s="217"/>
      <c r="N58" s="217"/>
      <c r="O58" s="217"/>
      <c r="P58" s="355"/>
      <c r="Q58" s="217"/>
      <c r="R58" s="217"/>
      <c r="S58" s="217"/>
      <c r="T58" s="217"/>
      <c r="U58" s="217"/>
      <c r="V58" s="217"/>
      <c r="W58" s="217"/>
      <c r="X58" s="217"/>
      <c r="Y58" s="217"/>
      <c r="Z58" s="217"/>
      <c r="AA58" s="217"/>
      <c r="AB58" s="217"/>
      <c r="AC58" s="217"/>
      <c r="AD58" s="217"/>
      <c r="AE58" s="355"/>
      <c r="AF58" s="217"/>
      <c r="AG58" s="217"/>
      <c r="AH58" s="217"/>
      <c r="AI58" s="217"/>
      <c r="AJ58" s="217"/>
      <c r="AK58" s="217"/>
      <c r="AL58" s="217"/>
      <c r="AM58" s="217"/>
      <c r="AN58" s="217"/>
      <c r="AO58" s="217"/>
      <c r="AP58" s="217"/>
      <c r="AQ58" s="217"/>
      <c r="AR58" s="217"/>
      <c r="AS58" s="217"/>
      <c r="AT58" s="355"/>
      <c r="AU58" s="217"/>
      <c r="AV58" s="217"/>
      <c r="AW58" s="217"/>
      <c r="AX58" s="217"/>
      <c r="AY58" s="217"/>
      <c r="AZ58" s="217"/>
      <c r="BA58" s="217"/>
      <c r="BB58" s="217"/>
      <c r="BC58" s="217"/>
      <c r="BD58" s="217"/>
      <c r="BE58" s="217"/>
      <c r="BF58" s="217"/>
      <c r="BG58" s="217"/>
      <c r="BH58" s="217"/>
    </row>
    <row r="59" spans="1:60">
      <c r="A59" s="254">
        <v>49</v>
      </c>
      <c r="B59" s="242"/>
      <c r="C59" s="243"/>
      <c r="D59" s="243"/>
      <c r="E59" s="357"/>
      <c r="F59" s="217"/>
      <c r="G59" s="217"/>
      <c r="H59" s="217"/>
      <c r="I59" s="217"/>
      <c r="J59" s="217"/>
      <c r="K59" s="217"/>
      <c r="L59" s="217"/>
      <c r="M59" s="217"/>
      <c r="N59" s="217"/>
      <c r="O59" s="217"/>
      <c r="P59" s="355"/>
      <c r="Q59" s="217"/>
      <c r="R59" s="217"/>
      <c r="S59" s="217"/>
      <c r="T59" s="217"/>
      <c r="U59" s="217"/>
      <c r="V59" s="217"/>
      <c r="W59" s="217"/>
      <c r="X59" s="217"/>
      <c r="Y59" s="217"/>
      <c r="Z59" s="217"/>
      <c r="AA59" s="217"/>
      <c r="AB59" s="217"/>
      <c r="AC59" s="217"/>
      <c r="AD59" s="217"/>
      <c r="AE59" s="355"/>
      <c r="AF59" s="217"/>
      <c r="AG59" s="217"/>
      <c r="AH59" s="217"/>
      <c r="AI59" s="217"/>
      <c r="AJ59" s="217"/>
      <c r="AK59" s="217"/>
      <c r="AL59" s="217"/>
      <c r="AM59" s="217"/>
      <c r="AN59" s="217"/>
      <c r="AO59" s="217"/>
      <c r="AP59" s="217"/>
      <c r="AQ59" s="217"/>
      <c r="AR59" s="217"/>
      <c r="AS59" s="217"/>
      <c r="AT59" s="355"/>
      <c r="AU59" s="217"/>
      <c r="AV59" s="217"/>
      <c r="AW59" s="217"/>
      <c r="AX59" s="217"/>
      <c r="AY59" s="217"/>
      <c r="AZ59" s="217"/>
      <c r="BA59" s="217"/>
      <c r="BB59" s="217"/>
      <c r="BC59" s="217"/>
      <c r="BD59" s="217"/>
      <c r="BE59" s="217"/>
      <c r="BF59" s="217"/>
      <c r="BG59" s="217"/>
      <c r="BH59" s="217"/>
    </row>
    <row r="60" spans="1:60">
      <c r="A60" s="254">
        <v>50</v>
      </c>
      <c r="B60" s="242"/>
      <c r="C60" s="243"/>
      <c r="D60" s="243"/>
      <c r="E60" s="357"/>
      <c r="F60" s="217"/>
      <c r="G60" s="217"/>
      <c r="H60" s="217"/>
      <c r="I60" s="217"/>
      <c r="J60" s="217"/>
      <c r="K60" s="217"/>
      <c r="L60" s="217"/>
      <c r="M60" s="217"/>
      <c r="N60" s="217"/>
      <c r="O60" s="217"/>
      <c r="P60" s="355"/>
      <c r="Q60" s="217"/>
      <c r="R60" s="217"/>
      <c r="S60" s="217"/>
      <c r="T60" s="217"/>
      <c r="U60" s="217"/>
      <c r="V60" s="217"/>
      <c r="W60" s="217"/>
      <c r="X60" s="217"/>
      <c r="Y60" s="217"/>
      <c r="Z60" s="217"/>
      <c r="AA60" s="217"/>
      <c r="AB60" s="217"/>
      <c r="AC60" s="217"/>
      <c r="AD60" s="217"/>
      <c r="AE60" s="355"/>
      <c r="AF60" s="217"/>
      <c r="AG60" s="217"/>
      <c r="AH60" s="217"/>
      <c r="AI60" s="217"/>
      <c r="AJ60" s="217"/>
      <c r="AK60" s="217"/>
      <c r="AL60" s="217"/>
      <c r="AM60" s="217"/>
      <c r="AN60" s="217"/>
      <c r="AO60" s="217"/>
      <c r="AP60" s="217"/>
      <c r="AQ60" s="217"/>
      <c r="AR60" s="217"/>
      <c r="AS60" s="217"/>
      <c r="AT60" s="355"/>
      <c r="AU60" s="217"/>
      <c r="AV60" s="217"/>
      <c r="AW60" s="217"/>
      <c r="AX60" s="217"/>
      <c r="AY60" s="217"/>
      <c r="AZ60" s="217"/>
      <c r="BA60" s="217"/>
      <c r="BB60" s="217"/>
      <c r="BC60" s="217"/>
      <c r="BD60" s="217"/>
      <c r="BE60" s="217"/>
      <c r="BF60" s="217"/>
      <c r="BG60" s="217"/>
      <c r="BH60" s="217"/>
    </row>
    <row r="61" spans="1:60">
      <c r="A61" s="254">
        <v>51</v>
      </c>
      <c r="B61" s="242"/>
      <c r="C61" s="243"/>
      <c r="D61" s="243"/>
      <c r="E61" s="357"/>
      <c r="F61" s="217"/>
      <c r="G61" s="217"/>
      <c r="H61" s="217"/>
      <c r="I61" s="217"/>
      <c r="J61" s="217"/>
      <c r="K61" s="217"/>
      <c r="L61" s="217"/>
      <c r="M61" s="217"/>
      <c r="N61" s="217"/>
      <c r="O61" s="217"/>
      <c r="P61" s="355"/>
      <c r="Q61" s="217"/>
      <c r="R61" s="217"/>
      <c r="S61" s="217"/>
      <c r="T61" s="217"/>
      <c r="U61" s="217"/>
      <c r="V61" s="217"/>
      <c r="W61" s="217"/>
      <c r="X61" s="217"/>
      <c r="Y61" s="217"/>
      <c r="Z61" s="217"/>
      <c r="AA61" s="217"/>
      <c r="AB61" s="217"/>
      <c r="AC61" s="217"/>
      <c r="AD61" s="217"/>
      <c r="AE61" s="355"/>
      <c r="AF61" s="217"/>
      <c r="AG61" s="217"/>
      <c r="AH61" s="217"/>
      <c r="AI61" s="217"/>
      <c r="AJ61" s="217"/>
      <c r="AK61" s="217"/>
      <c r="AL61" s="217"/>
      <c r="AM61" s="217"/>
      <c r="AN61" s="217"/>
      <c r="AO61" s="217"/>
      <c r="AP61" s="217"/>
      <c r="AQ61" s="217"/>
      <c r="AR61" s="217"/>
      <c r="AS61" s="217"/>
      <c r="AT61" s="355"/>
      <c r="AU61" s="217"/>
      <c r="AV61" s="217"/>
      <c r="AW61" s="217"/>
      <c r="AX61" s="217"/>
      <c r="AY61" s="217"/>
      <c r="AZ61" s="217"/>
      <c r="BA61" s="217"/>
      <c r="BB61" s="217"/>
      <c r="BC61" s="217"/>
      <c r="BD61" s="217"/>
      <c r="BE61" s="217"/>
      <c r="BF61" s="217"/>
      <c r="BG61" s="217"/>
      <c r="BH61" s="217"/>
    </row>
    <row r="62" spans="1:60">
      <c r="A62" s="254">
        <v>52</v>
      </c>
      <c r="B62" s="242"/>
      <c r="C62" s="243"/>
      <c r="D62" s="243"/>
      <c r="E62" s="357"/>
      <c r="F62" s="217"/>
      <c r="G62" s="217"/>
      <c r="H62" s="217"/>
      <c r="I62" s="217"/>
      <c r="J62" s="217"/>
      <c r="K62" s="217"/>
      <c r="L62" s="217"/>
      <c r="M62" s="217"/>
      <c r="N62" s="217"/>
      <c r="O62" s="217"/>
      <c r="P62" s="355"/>
      <c r="Q62" s="217"/>
      <c r="R62" s="217"/>
      <c r="S62" s="217"/>
      <c r="T62" s="217"/>
      <c r="U62" s="217"/>
      <c r="V62" s="217"/>
      <c r="W62" s="217"/>
      <c r="X62" s="217"/>
      <c r="Y62" s="217"/>
      <c r="Z62" s="217"/>
      <c r="AA62" s="217"/>
      <c r="AB62" s="217"/>
      <c r="AC62" s="217"/>
      <c r="AD62" s="217"/>
      <c r="AE62" s="355"/>
      <c r="AF62" s="217"/>
      <c r="AG62" s="217"/>
      <c r="AH62" s="217"/>
      <c r="AI62" s="217"/>
      <c r="AJ62" s="217"/>
      <c r="AK62" s="217"/>
      <c r="AL62" s="217"/>
      <c r="AM62" s="217"/>
      <c r="AN62" s="217"/>
      <c r="AO62" s="217"/>
      <c r="AP62" s="217"/>
      <c r="AQ62" s="217"/>
      <c r="AR62" s="217"/>
      <c r="AS62" s="217"/>
      <c r="AT62" s="355"/>
      <c r="AU62" s="217"/>
      <c r="AV62" s="217"/>
      <c r="AW62" s="217"/>
      <c r="AX62" s="217"/>
      <c r="AY62" s="217"/>
      <c r="AZ62" s="217"/>
      <c r="BA62" s="217"/>
      <c r="BB62" s="217"/>
      <c r="BC62" s="217"/>
      <c r="BD62" s="217"/>
      <c r="BE62" s="217"/>
      <c r="BF62" s="217"/>
      <c r="BG62" s="217"/>
      <c r="BH62" s="217"/>
    </row>
    <row r="63" spans="1:60">
      <c r="A63" s="254">
        <v>53</v>
      </c>
      <c r="B63" s="242"/>
      <c r="C63" s="243"/>
      <c r="D63" s="243"/>
      <c r="E63" s="357"/>
      <c r="F63" s="217"/>
      <c r="G63" s="217"/>
      <c r="H63" s="217"/>
      <c r="I63" s="217"/>
      <c r="J63" s="217"/>
      <c r="K63" s="217"/>
      <c r="L63" s="217"/>
      <c r="M63" s="217"/>
      <c r="N63" s="217"/>
      <c r="O63" s="217"/>
      <c r="P63" s="355"/>
      <c r="Q63" s="217"/>
      <c r="R63" s="217"/>
      <c r="S63" s="217"/>
      <c r="T63" s="217"/>
      <c r="U63" s="217"/>
      <c r="V63" s="217"/>
      <c r="W63" s="217"/>
      <c r="X63" s="217"/>
      <c r="Y63" s="217"/>
      <c r="Z63" s="217"/>
      <c r="AA63" s="217"/>
      <c r="AB63" s="217"/>
      <c r="AC63" s="217"/>
      <c r="AD63" s="217"/>
      <c r="AE63" s="355"/>
      <c r="AF63" s="217"/>
      <c r="AG63" s="217"/>
      <c r="AH63" s="217"/>
      <c r="AI63" s="217"/>
      <c r="AJ63" s="217"/>
      <c r="AK63" s="217"/>
      <c r="AL63" s="217"/>
      <c r="AM63" s="217"/>
      <c r="AN63" s="217"/>
      <c r="AO63" s="217"/>
      <c r="AP63" s="217"/>
      <c r="AQ63" s="217"/>
      <c r="AR63" s="217"/>
      <c r="AS63" s="217"/>
      <c r="AT63" s="355"/>
      <c r="AU63" s="217"/>
      <c r="AV63" s="217"/>
      <c r="AW63" s="217"/>
      <c r="AX63" s="217"/>
      <c r="AY63" s="217"/>
      <c r="AZ63" s="217"/>
      <c r="BA63" s="217"/>
      <c r="BB63" s="217"/>
      <c r="BC63" s="217"/>
      <c r="BD63" s="217"/>
      <c r="BE63" s="217"/>
      <c r="BF63" s="217"/>
      <c r="BG63" s="217"/>
      <c r="BH63" s="217"/>
    </row>
    <row r="64" spans="1:60">
      <c r="A64" s="254">
        <v>54</v>
      </c>
      <c r="B64" s="242"/>
      <c r="C64" s="243"/>
      <c r="D64" s="243"/>
      <c r="E64" s="357"/>
      <c r="F64" s="217"/>
      <c r="G64" s="217"/>
      <c r="H64" s="217"/>
      <c r="I64" s="217"/>
      <c r="J64" s="217"/>
      <c r="K64" s="217"/>
      <c r="L64" s="217"/>
      <c r="M64" s="217"/>
      <c r="N64" s="217"/>
      <c r="O64" s="217"/>
      <c r="P64" s="355"/>
      <c r="Q64" s="217"/>
      <c r="R64" s="217"/>
      <c r="S64" s="217"/>
      <c r="T64" s="217"/>
      <c r="U64" s="217"/>
      <c r="V64" s="217"/>
      <c r="W64" s="217"/>
      <c r="X64" s="217"/>
      <c r="Y64" s="217"/>
      <c r="Z64" s="217"/>
      <c r="AA64" s="217"/>
      <c r="AB64" s="217"/>
      <c r="AC64" s="217"/>
      <c r="AD64" s="217"/>
      <c r="AE64" s="355"/>
      <c r="AF64" s="217"/>
      <c r="AG64" s="217"/>
      <c r="AH64" s="217"/>
      <c r="AI64" s="217"/>
      <c r="AJ64" s="217"/>
      <c r="AK64" s="217"/>
      <c r="AL64" s="217"/>
      <c r="AM64" s="217"/>
      <c r="AN64" s="217"/>
      <c r="AO64" s="217"/>
      <c r="AP64" s="217"/>
      <c r="AQ64" s="217"/>
      <c r="AR64" s="217"/>
      <c r="AS64" s="217"/>
      <c r="AT64" s="355"/>
      <c r="AU64" s="217"/>
      <c r="AV64" s="217"/>
      <c r="AW64" s="217"/>
      <c r="AX64" s="217"/>
      <c r="AY64" s="217"/>
      <c r="AZ64" s="217"/>
      <c r="BA64" s="217"/>
      <c r="BB64" s="217"/>
      <c r="BC64" s="217"/>
      <c r="BD64" s="217"/>
      <c r="BE64" s="217"/>
      <c r="BF64" s="217"/>
      <c r="BG64" s="217"/>
      <c r="BH64" s="217"/>
    </row>
    <row r="65" spans="1:60">
      <c r="A65" s="254">
        <v>55</v>
      </c>
      <c r="B65" s="242"/>
      <c r="C65" s="243"/>
      <c r="D65" s="243"/>
      <c r="E65" s="357"/>
      <c r="F65" s="217"/>
      <c r="G65" s="217"/>
      <c r="H65" s="217"/>
      <c r="I65" s="217"/>
      <c r="J65" s="217"/>
      <c r="K65" s="217"/>
      <c r="L65" s="217"/>
      <c r="M65" s="217"/>
      <c r="N65" s="217"/>
      <c r="O65" s="217"/>
      <c r="P65" s="355"/>
      <c r="Q65" s="217"/>
      <c r="R65" s="217"/>
      <c r="S65" s="217"/>
      <c r="T65" s="217"/>
      <c r="U65" s="217"/>
      <c r="V65" s="217"/>
      <c r="W65" s="217"/>
      <c r="X65" s="217"/>
      <c r="Y65" s="217"/>
      <c r="Z65" s="217"/>
      <c r="AA65" s="217"/>
      <c r="AB65" s="217"/>
      <c r="AC65" s="217"/>
      <c r="AD65" s="217"/>
      <c r="AE65" s="355"/>
      <c r="AF65" s="217"/>
      <c r="AG65" s="217"/>
      <c r="AH65" s="217"/>
      <c r="AI65" s="217"/>
      <c r="AJ65" s="217"/>
      <c r="AK65" s="217"/>
      <c r="AL65" s="217"/>
      <c r="AM65" s="217"/>
      <c r="AN65" s="217"/>
      <c r="AO65" s="217"/>
      <c r="AP65" s="217"/>
      <c r="AQ65" s="217"/>
      <c r="AR65" s="217"/>
      <c r="AS65" s="217"/>
      <c r="AT65" s="355"/>
      <c r="AU65" s="217"/>
      <c r="AV65" s="217"/>
      <c r="AW65" s="217"/>
      <c r="AX65" s="217"/>
      <c r="AY65" s="217"/>
      <c r="AZ65" s="217"/>
      <c r="BA65" s="217"/>
      <c r="BB65" s="217"/>
      <c r="BC65" s="217"/>
      <c r="BD65" s="217"/>
      <c r="BE65" s="217"/>
      <c r="BF65" s="217"/>
      <c r="BG65" s="217"/>
      <c r="BH65" s="217"/>
    </row>
    <row r="66" spans="1:60">
      <c r="A66" s="254">
        <v>56</v>
      </c>
      <c r="B66" s="242"/>
      <c r="C66" s="243"/>
      <c r="D66" s="243"/>
      <c r="E66" s="357"/>
      <c r="F66" s="217"/>
      <c r="G66" s="217"/>
      <c r="H66" s="217"/>
      <c r="I66" s="217"/>
      <c r="J66" s="217"/>
      <c r="K66" s="217"/>
      <c r="L66" s="217"/>
      <c r="M66" s="217"/>
      <c r="N66" s="217"/>
      <c r="O66" s="217"/>
      <c r="P66" s="355"/>
      <c r="Q66" s="217"/>
      <c r="R66" s="217"/>
      <c r="S66" s="217"/>
      <c r="T66" s="217"/>
      <c r="U66" s="217"/>
      <c r="V66" s="217"/>
      <c r="W66" s="217"/>
      <c r="X66" s="217"/>
      <c r="Y66" s="217"/>
      <c r="Z66" s="217"/>
      <c r="AA66" s="217"/>
      <c r="AB66" s="217"/>
      <c r="AC66" s="217"/>
      <c r="AD66" s="217"/>
      <c r="AE66" s="355"/>
      <c r="AF66" s="217"/>
      <c r="AG66" s="217"/>
      <c r="AH66" s="217"/>
      <c r="AI66" s="217"/>
      <c r="AJ66" s="217"/>
      <c r="AK66" s="217"/>
      <c r="AL66" s="217"/>
      <c r="AM66" s="217"/>
      <c r="AN66" s="217"/>
      <c r="AO66" s="217"/>
      <c r="AP66" s="217"/>
      <c r="AQ66" s="217"/>
      <c r="AR66" s="217"/>
      <c r="AS66" s="217"/>
      <c r="AT66" s="355"/>
      <c r="AU66" s="217"/>
      <c r="AV66" s="217"/>
      <c r="AW66" s="217"/>
      <c r="AX66" s="217"/>
      <c r="AY66" s="217"/>
      <c r="AZ66" s="217"/>
      <c r="BA66" s="217"/>
      <c r="BB66" s="217"/>
      <c r="BC66" s="217"/>
      <c r="BD66" s="217"/>
      <c r="BE66" s="217"/>
      <c r="BF66" s="217"/>
      <c r="BG66" s="217"/>
      <c r="BH66" s="217"/>
    </row>
    <row r="67" spans="1:60">
      <c r="A67" s="254">
        <v>57</v>
      </c>
      <c r="B67" s="242"/>
      <c r="C67" s="243"/>
      <c r="D67" s="243"/>
      <c r="E67" s="357"/>
      <c r="F67" s="217"/>
      <c r="G67" s="217"/>
      <c r="H67" s="217"/>
      <c r="I67" s="217"/>
      <c r="J67" s="217"/>
      <c r="K67" s="217"/>
      <c r="L67" s="217"/>
      <c r="M67" s="217"/>
      <c r="N67" s="217"/>
      <c r="O67" s="217"/>
      <c r="P67" s="355"/>
      <c r="Q67" s="217"/>
      <c r="R67" s="217"/>
      <c r="S67" s="217"/>
      <c r="T67" s="217"/>
      <c r="U67" s="217"/>
      <c r="V67" s="217"/>
      <c r="W67" s="217"/>
      <c r="X67" s="217"/>
      <c r="Y67" s="217"/>
      <c r="Z67" s="217"/>
      <c r="AA67" s="217"/>
      <c r="AB67" s="217"/>
      <c r="AC67" s="217"/>
      <c r="AD67" s="217"/>
      <c r="AE67" s="355"/>
      <c r="AF67" s="217"/>
      <c r="AG67" s="217"/>
      <c r="AH67" s="217"/>
      <c r="AI67" s="217"/>
      <c r="AJ67" s="217"/>
      <c r="AK67" s="217"/>
      <c r="AL67" s="217"/>
      <c r="AM67" s="217"/>
      <c r="AN67" s="217"/>
      <c r="AO67" s="217"/>
      <c r="AP67" s="217"/>
      <c r="AQ67" s="217"/>
      <c r="AR67" s="217"/>
      <c r="AS67" s="217"/>
      <c r="AT67" s="355"/>
      <c r="AU67" s="217"/>
      <c r="AV67" s="217"/>
      <c r="AW67" s="217"/>
      <c r="AX67" s="217"/>
      <c r="AY67" s="217"/>
      <c r="AZ67" s="217"/>
      <c r="BA67" s="217"/>
      <c r="BB67" s="217"/>
      <c r="BC67" s="217"/>
      <c r="BD67" s="217"/>
      <c r="BE67" s="217"/>
      <c r="BF67" s="217"/>
      <c r="BG67" s="217"/>
      <c r="BH67" s="217"/>
    </row>
    <row r="68" spans="1:60">
      <c r="A68" s="254">
        <v>58</v>
      </c>
      <c r="B68" s="242"/>
      <c r="C68" s="243"/>
      <c r="D68" s="243"/>
      <c r="E68" s="357"/>
      <c r="F68" s="217"/>
      <c r="G68" s="217"/>
      <c r="H68" s="217"/>
      <c r="I68" s="217"/>
      <c r="J68" s="217"/>
      <c r="K68" s="217"/>
      <c r="L68" s="217"/>
      <c r="M68" s="217"/>
      <c r="N68" s="217"/>
      <c r="O68" s="217"/>
      <c r="P68" s="355"/>
      <c r="Q68" s="217"/>
      <c r="R68" s="217"/>
      <c r="S68" s="217"/>
      <c r="T68" s="217"/>
      <c r="U68" s="217"/>
      <c r="V68" s="217"/>
      <c r="W68" s="217"/>
      <c r="X68" s="217"/>
      <c r="Y68" s="217"/>
      <c r="Z68" s="217"/>
      <c r="AA68" s="217"/>
      <c r="AB68" s="217"/>
      <c r="AC68" s="217"/>
      <c r="AD68" s="217"/>
      <c r="AE68" s="355"/>
      <c r="AF68" s="217"/>
      <c r="AG68" s="217"/>
      <c r="AH68" s="217"/>
      <c r="AI68" s="217"/>
      <c r="AJ68" s="217"/>
      <c r="AK68" s="217"/>
      <c r="AL68" s="217"/>
      <c r="AM68" s="217"/>
      <c r="AN68" s="217"/>
      <c r="AO68" s="217"/>
      <c r="AP68" s="217"/>
      <c r="AQ68" s="217"/>
      <c r="AR68" s="217"/>
      <c r="AS68" s="217"/>
      <c r="AT68" s="355"/>
      <c r="AU68" s="217"/>
      <c r="AV68" s="217"/>
      <c r="AW68" s="217"/>
      <c r="AX68" s="217"/>
      <c r="AY68" s="217"/>
      <c r="AZ68" s="217"/>
      <c r="BA68" s="217"/>
      <c r="BB68" s="217"/>
      <c r="BC68" s="217"/>
      <c r="BD68" s="217"/>
      <c r="BE68" s="217"/>
      <c r="BF68" s="217"/>
      <c r="BG68" s="217"/>
      <c r="BH68" s="217"/>
    </row>
    <row r="69" spans="1:60">
      <c r="A69" s="254">
        <v>59</v>
      </c>
      <c r="B69" s="242"/>
      <c r="C69" s="243"/>
      <c r="D69" s="243"/>
      <c r="E69" s="357"/>
      <c r="F69" s="217"/>
      <c r="G69" s="217"/>
      <c r="H69" s="217"/>
      <c r="I69" s="217"/>
      <c r="J69" s="217"/>
      <c r="K69" s="217"/>
      <c r="L69" s="217"/>
      <c r="M69" s="217"/>
      <c r="N69" s="217"/>
      <c r="O69" s="217"/>
      <c r="P69" s="355"/>
      <c r="Q69" s="217"/>
      <c r="R69" s="217"/>
      <c r="S69" s="217"/>
      <c r="T69" s="217"/>
      <c r="U69" s="217"/>
      <c r="V69" s="217"/>
      <c r="W69" s="217"/>
      <c r="X69" s="217"/>
      <c r="Y69" s="217"/>
      <c r="Z69" s="217"/>
      <c r="AA69" s="217"/>
      <c r="AB69" s="217"/>
      <c r="AC69" s="217"/>
      <c r="AD69" s="217"/>
      <c r="AE69" s="355"/>
      <c r="AF69" s="217"/>
      <c r="AG69" s="217"/>
      <c r="AH69" s="217"/>
      <c r="AI69" s="217"/>
      <c r="AJ69" s="217"/>
      <c r="AK69" s="217"/>
      <c r="AL69" s="217"/>
      <c r="AM69" s="217"/>
      <c r="AN69" s="217"/>
      <c r="AO69" s="217"/>
      <c r="AP69" s="217"/>
      <c r="AQ69" s="217"/>
      <c r="AR69" s="217"/>
      <c r="AS69" s="217"/>
      <c r="AT69" s="355"/>
      <c r="AU69" s="217"/>
      <c r="AV69" s="217"/>
      <c r="AW69" s="217"/>
      <c r="AX69" s="217"/>
      <c r="AY69" s="217"/>
      <c r="AZ69" s="217"/>
      <c r="BA69" s="217"/>
      <c r="BB69" s="217"/>
      <c r="BC69" s="217"/>
      <c r="BD69" s="217"/>
      <c r="BE69" s="217"/>
      <c r="BF69" s="217"/>
      <c r="BG69" s="217"/>
      <c r="BH69" s="217"/>
    </row>
    <row r="70" spans="1:60">
      <c r="A70" s="254">
        <v>60</v>
      </c>
      <c r="B70" s="242"/>
      <c r="C70" s="243"/>
      <c r="D70" s="243"/>
      <c r="E70" s="357"/>
      <c r="F70" s="217"/>
      <c r="G70" s="217"/>
      <c r="H70" s="217"/>
      <c r="I70" s="217"/>
      <c r="J70" s="217"/>
      <c r="K70" s="217"/>
      <c r="L70" s="217"/>
      <c r="M70" s="217"/>
      <c r="N70" s="217"/>
      <c r="O70" s="217"/>
      <c r="P70" s="355"/>
      <c r="Q70" s="217"/>
      <c r="R70" s="217"/>
      <c r="S70" s="217"/>
      <c r="T70" s="217"/>
      <c r="U70" s="217"/>
      <c r="V70" s="217"/>
      <c r="W70" s="217"/>
      <c r="X70" s="217"/>
      <c r="Y70" s="217"/>
      <c r="Z70" s="217"/>
      <c r="AA70" s="217"/>
      <c r="AB70" s="217"/>
      <c r="AC70" s="217"/>
      <c r="AD70" s="217"/>
      <c r="AE70" s="355"/>
      <c r="AF70" s="217"/>
      <c r="AG70" s="217"/>
      <c r="AH70" s="217"/>
      <c r="AI70" s="217"/>
      <c r="AJ70" s="217"/>
      <c r="AK70" s="217"/>
      <c r="AL70" s="217"/>
      <c r="AM70" s="217"/>
      <c r="AN70" s="217"/>
      <c r="AO70" s="217"/>
      <c r="AP70" s="217"/>
      <c r="AQ70" s="217"/>
      <c r="AR70" s="217"/>
      <c r="AS70" s="217"/>
      <c r="AT70" s="355"/>
      <c r="AU70" s="217"/>
      <c r="AV70" s="217"/>
      <c r="AW70" s="217"/>
      <c r="AX70" s="217"/>
      <c r="AY70" s="217"/>
      <c r="AZ70" s="217"/>
      <c r="BA70" s="217"/>
      <c r="BB70" s="217"/>
      <c r="BC70" s="217"/>
      <c r="BD70" s="217"/>
      <c r="BE70" s="217"/>
      <c r="BF70" s="217"/>
      <c r="BG70" s="217"/>
      <c r="BH70" s="217"/>
    </row>
    <row r="71" spans="1:60">
      <c r="A71" s="254">
        <v>61</v>
      </c>
      <c r="B71" s="242"/>
      <c r="C71" s="243"/>
      <c r="D71" s="243"/>
      <c r="E71" s="357"/>
      <c r="F71" s="217"/>
      <c r="G71" s="217"/>
      <c r="H71" s="217"/>
      <c r="I71" s="217"/>
      <c r="J71" s="217"/>
      <c r="K71" s="217"/>
      <c r="L71" s="217"/>
      <c r="M71" s="217"/>
      <c r="N71" s="217"/>
      <c r="O71" s="217"/>
      <c r="P71" s="355"/>
      <c r="Q71" s="217"/>
      <c r="R71" s="217"/>
      <c r="S71" s="217"/>
      <c r="T71" s="217"/>
      <c r="U71" s="217"/>
      <c r="V71" s="217"/>
      <c r="W71" s="217"/>
      <c r="X71" s="217"/>
      <c r="Y71" s="217"/>
      <c r="Z71" s="217"/>
      <c r="AA71" s="217"/>
      <c r="AB71" s="217"/>
      <c r="AC71" s="217"/>
      <c r="AD71" s="217"/>
      <c r="AE71" s="355"/>
      <c r="AF71" s="217"/>
      <c r="AG71" s="217"/>
      <c r="AH71" s="217"/>
      <c r="AI71" s="217"/>
      <c r="AJ71" s="217"/>
      <c r="AK71" s="217"/>
      <c r="AL71" s="217"/>
      <c r="AM71" s="217"/>
      <c r="AN71" s="217"/>
      <c r="AO71" s="217"/>
      <c r="AP71" s="217"/>
      <c r="AQ71" s="217"/>
      <c r="AR71" s="217"/>
      <c r="AS71" s="217"/>
      <c r="AT71" s="355"/>
      <c r="AU71" s="217"/>
      <c r="AV71" s="217"/>
      <c r="AW71" s="217"/>
      <c r="AX71" s="217"/>
      <c r="AY71" s="217"/>
      <c r="AZ71" s="217"/>
      <c r="BA71" s="217"/>
      <c r="BB71" s="217"/>
      <c r="BC71" s="217"/>
      <c r="BD71" s="217"/>
      <c r="BE71" s="217"/>
      <c r="BF71" s="217"/>
      <c r="BG71" s="217"/>
      <c r="BH71" s="217"/>
    </row>
    <row r="72" spans="1:60">
      <c r="A72" s="254">
        <v>62</v>
      </c>
      <c r="B72" s="242"/>
      <c r="C72" s="243"/>
      <c r="D72" s="243"/>
      <c r="E72" s="357"/>
      <c r="F72" s="217"/>
      <c r="G72" s="217"/>
      <c r="H72" s="217"/>
      <c r="I72" s="217"/>
      <c r="J72" s="217"/>
      <c r="K72" s="217"/>
      <c r="L72" s="217"/>
      <c r="M72" s="217"/>
      <c r="N72" s="217"/>
      <c r="O72" s="217"/>
      <c r="P72" s="355"/>
      <c r="Q72" s="217"/>
      <c r="R72" s="217"/>
      <c r="S72" s="217"/>
      <c r="T72" s="217"/>
      <c r="U72" s="217"/>
      <c r="V72" s="217"/>
      <c r="W72" s="217"/>
      <c r="X72" s="217"/>
      <c r="Y72" s="217"/>
      <c r="Z72" s="217"/>
      <c r="AA72" s="217"/>
      <c r="AB72" s="217"/>
      <c r="AC72" s="217"/>
      <c r="AD72" s="217"/>
      <c r="AE72" s="355"/>
      <c r="AF72" s="217"/>
      <c r="AG72" s="217"/>
      <c r="AH72" s="217"/>
      <c r="AI72" s="217"/>
      <c r="AJ72" s="217"/>
      <c r="AK72" s="217"/>
      <c r="AL72" s="217"/>
      <c r="AM72" s="217"/>
      <c r="AN72" s="217"/>
      <c r="AO72" s="217"/>
      <c r="AP72" s="217"/>
      <c r="AQ72" s="217"/>
      <c r="AR72" s="217"/>
      <c r="AS72" s="217"/>
      <c r="AT72" s="355"/>
      <c r="AU72" s="217"/>
      <c r="AV72" s="217"/>
      <c r="AW72" s="217"/>
      <c r="AX72" s="217"/>
      <c r="AY72" s="217"/>
      <c r="AZ72" s="217"/>
      <c r="BA72" s="217"/>
      <c r="BB72" s="217"/>
      <c r="BC72" s="217"/>
      <c r="BD72" s="217"/>
      <c r="BE72" s="217"/>
      <c r="BF72" s="217"/>
      <c r="BG72" s="217"/>
      <c r="BH72" s="217"/>
    </row>
    <row r="73" spans="1:60">
      <c r="A73" s="254">
        <v>63</v>
      </c>
      <c r="B73" s="242"/>
      <c r="C73" s="243"/>
      <c r="D73" s="243"/>
      <c r="E73" s="357"/>
      <c r="F73" s="217"/>
      <c r="G73" s="217"/>
      <c r="H73" s="217"/>
      <c r="I73" s="217"/>
      <c r="J73" s="217"/>
      <c r="K73" s="217"/>
      <c r="L73" s="217"/>
      <c r="M73" s="217"/>
      <c r="N73" s="217"/>
      <c r="O73" s="217"/>
      <c r="P73" s="355"/>
      <c r="Q73" s="217"/>
      <c r="R73" s="217"/>
      <c r="S73" s="217"/>
      <c r="T73" s="217"/>
      <c r="U73" s="217"/>
      <c r="V73" s="217"/>
      <c r="W73" s="217"/>
      <c r="X73" s="217"/>
      <c r="Y73" s="217"/>
      <c r="Z73" s="217"/>
      <c r="AA73" s="217"/>
      <c r="AB73" s="217"/>
      <c r="AC73" s="217"/>
      <c r="AD73" s="217"/>
      <c r="AE73" s="355"/>
      <c r="AF73" s="217"/>
      <c r="AG73" s="217"/>
      <c r="AH73" s="217"/>
      <c r="AI73" s="217"/>
      <c r="AJ73" s="217"/>
      <c r="AK73" s="217"/>
      <c r="AL73" s="217"/>
      <c r="AM73" s="217"/>
      <c r="AN73" s="217"/>
      <c r="AO73" s="217"/>
      <c r="AP73" s="217"/>
      <c r="AQ73" s="217"/>
      <c r="AR73" s="217"/>
      <c r="AS73" s="217"/>
      <c r="AT73" s="355"/>
      <c r="AU73" s="217"/>
      <c r="AV73" s="217"/>
      <c r="AW73" s="217"/>
      <c r="AX73" s="217"/>
      <c r="AY73" s="217"/>
      <c r="AZ73" s="217"/>
      <c r="BA73" s="217"/>
      <c r="BB73" s="217"/>
      <c r="BC73" s="217"/>
      <c r="BD73" s="217"/>
      <c r="BE73" s="217"/>
      <c r="BF73" s="217"/>
      <c r="BG73" s="217"/>
      <c r="BH73" s="217"/>
    </row>
    <row r="74" spans="1:60">
      <c r="A74" s="254">
        <v>64</v>
      </c>
      <c r="B74" s="242"/>
      <c r="C74" s="243"/>
      <c r="D74" s="243"/>
      <c r="E74" s="357"/>
      <c r="F74" s="217"/>
      <c r="G74" s="217"/>
      <c r="H74" s="217"/>
      <c r="I74" s="217"/>
      <c r="J74" s="217"/>
      <c r="K74" s="217"/>
      <c r="L74" s="217"/>
      <c r="M74" s="217"/>
      <c r="N74" s="217"/>
      <c r="O74" s="217"/>
      <c r="P74" s="355"/>
      <c r="Q74" s="217"/>
      <c r="R74" s="217"/>
      <c r="S74" s="217"/>
      <c r="T74" s="217"/>
      <c r="U74" s="217"/>
      <c r="V74" s="217"/>
      <c r="W74" s="217"/>
      <c r="X74" s="217"/>
      <c r="Y74" s="217"/>
      <c r="Z74" s="217"/>
      <c r="AA74" s="217"/>
      <c r="AB74" s="217"/>
      <c r="AC74" s="217"/>
      <c r="AD74" s="217"/>
      <c r="AE74" s="355"/>
      <c r="AF74" s="217"/>
      <c r="AG74" s="217"/>
      <c r="AH74" s="217"/>
      <c r="AI74" s="217"/>
      <c r="AJ74" s="217"/>
      <c r="AK74" s="217"/>
      <c r="AL74" s="217"/>
      <c r="AM74" s="217"/>
      <c r="AN74" s="217"/>
      <c r="AO74" s="217"/>
      <c r="AP74" s="217"/>
      <c r="AQ74" s="217"/>
      <c r="AR74" s="217"/>
      <c r="AS74" s="217"/>
      <c r="AT74" s="355"/>
      <c r="AU74" s="217"/>
      <c r="AV74" s="217"/>
      <c r="AW74" s="217"/>
      <c r="AX74" s="217"/>
      <c r="AY74" s="217"/>
      <c r="AZ74" s="217"/>
      <c r="BA74" s="217"/>
      <c r="BB74" s="217"/>
      <c r="BC74" s="217"/>
      <c r="BD74" s="217"/>
      <c r="BE74" s="217"/>
      <c r="BF74" s="217"/>
      <c r="BG74" s="217"/>
      <c r="BH74" s="217"/>
    </row>
    <row r="75" spans="1:60">
      <c r="A75" s="254">
        <v>65</v>
      </c>
      <c r="B75" s="242"/>
      <c r="C75" s="243"/>
      <c r="D75" s="243"/>
      <c r="E75" s="357"/>
      <c r="F75" s="217"/>
      <c r="G75" s="217"/>
      <c r="H75" s="217"/>
      <c r="I75" s="217"/>
      <c r="J75" s="217"/>
      <c r="K75" s="217"/>
      <c r="L75" s="217"/>
      <c r="M75" s="217"/>
      <c r="N75" s="217"/>
      <c r="O75" s="217"/>
      <c r="P75" s="355"/>
      <c r="Q75" s="217"/>
      <c r="R75" s="217"/>
      <c r="S75" s="217"/>
      <c r="T75" s="217"/>
      <c r="U75" s="217"/>
      <c r="V75" s="217"/>
      <c r="W75" s="217"/>
      <c r="X75" s="217"/>
      <c r="Y75" s="217"/>
      <c r="Z75" s="217"/>
      <c r="AA75" s="217"/>
      <c r="AB75" s="217"/>
      <c r="AC75" s="217"/>
      <c r="AD75" s="217"/>
      <c r="AE75" s="355"/>
      <c r="AF75" s="217"/>
      <c r="AG75" s="217"/>
      <c r="AH75" s="217"/>
      <c r="AI75" s="217"/>
      <c r="AJ75" s="217"/>
      <c r="AK75" s="217"/>
      <c r="AL75" s="217"/>
      <c r="AM75" s="217"/>
      <c r="AN75" s="217"/>
      <c r="AO75" s="217"/>
      <c r="AP75" s="217"/>
      <c r="AQ75" s="217"/>
      <c r="AR75" s="217"/>
      <c r="AS75" s="217"/>
      <c r="AT75" s="355"/>
      <c r="AU75" s="217"/>
      <c r="AV75" s="217"/>
      <c r="AW75" s="217"/>
      <c r="AX75" s="217"/>
      <c r="AY75" s="217"/>
      <c r="AZ75" s="217"/>
      <c r="BA75" s="217"/>
      <c r="BB75" s="217"/>
      <c r="BC75" s="217"/>
      <c r="BD75" s="217"/>
      <c r="BE75" s="217"/>
      <c r="BF75" s="217"/>
      <c r="BG75" s="217"/>
      <c r="BH75" s="217"/>
    </row>
    <row r="76" spans="1:60">
      <c r="A76" s="254">
        <v>66</v>
      </c>
      <c r="B76" s="242"/>
      <c r="C76" s="243"/>
      <c r="D76" s="243"/>
      <c r="E76" s="357"/>
      <c r="F76" s="217"/>
      <c r="G76" s="217"/>
      <c r="H76" s="217"/>
      <c r="I76" s="217"/>
      <c r="J76" s="217"/>
      <c r="K76" s="217"/>
      <c r="L76" s="217"/>
      <c r="M76" s="217"/>
      <c r="N76" s="217"/>
      <c r="O76" s="217"/>
      <c r="P76" s="355"/>
      <c r="Q76" s="217"/>
      <c r="R76" s="217"/>
      <c r="S76" s="217"/>
      <c r="T76" s="217"/>
      <c r="U76" s="217"/>
      <c r="V76" s="217"/>
      <c r="W76" s="217"/>
      <c r="X76" s="217"/>
      <c r="Y76" s="217"/>
      <c r="Z76" s="217"/>
      <c r="AA76" s="217"/>
      <c r="AB76" s="217"/>
      <c r="AC76" s="217"/>
      <c r="AD76" s="217"/>
      <c r="AE76" s="355"/>
      <c r="AF76" s="217"/>
      <c r="AG76" s="217"/>
      <c r="AH76" s="217"/>
      <c r="AI76" s="217"/>
      <c r="AJ76" s="217"/>
      <c r="AK76" s="217"/>
      <c r="AL76" s="217"/>
      <c r="AM76" s="217"/>
      <c r="AN76" s="217"/>
      <c r="AO76" s="217"/>
      <c r="AP76" s="217"/>
      <c r="AQ76" s="217"/>
      <c r="AR76" s="217"/>
      <c r="AS76" s="217"/>
      <c r="AT76" s="355"/>
      <c r="AU76" s="217"/>
      <c r="AV76" s="217"/>
      <c r="AW76" s="217"/>
      <c r="AX76" s="217"/>
      <c r="AY76" s="217"/>
      <c r="AZ76" s="217"/>
      <c r="BA76" s="217"/>
      <c r="BB76" s="217"/>
      <c r="BC76" s="217"/>
      <c r="BD76" s="217"/>
      <c r="BE76" s="217"/>
      <c r="BF76" s="217"/>
      <c r="BG76" s="217"/>
      <c r="BH76" s="217"/>
    </row>
    <row r="77" spans="1:60">
      <c r="A77" s="254">
        <v>67</v>
      </c>
      <c r="B77" s="242"/>
      <c r="C77" s="243"/>
      <c r="D77" s="243"/>
      <c r="E77" s="357"/>
      <c r="F77" s="217"/>
      <c r="G77" s="217"/>
      <c r="H77" s="217"/>
      <c r="I77" s="217"/>
      <c r="J77" s="217"/>
      <c r="K77" s="217"/>
      <c r="L77" s="217"/>
      <c r="M77" s="217"/>
      <c r="N77" s="217"/>
      <c r="O77" s="217"/>
      <c r="P77" s="355"/>
      <c r="Q77" s="217"/>
      <c r="R77" s="217"/>
      <c r="S77" s="217"/>
      <c r="T77" s="217"/>
      <c r="U77" s="217"/>
      <c r="V77" s="217"/>
      <c r="W77" s="217"/>
      <c r="X77" s="217"/>
      <c r="Y77" s="217"/>
      <c r="Z77" s="217"/>
      <c r="AA77" s="217"/>
      <c r="AB77" s="217"/>
      <c r="AC77" s="217"/>
      <c r="AD77" s="217"/>
      <c r="AE77" s="355"/>
      <c r="AF77" s="217"/>
      <c r="AG77" s="217"/>
      <c r="AH77" s="217"/>
      <c r="AI77" s="217"/>
      <c r="AJ77" s="217"/>
      <c r="AK77" s="217"/>
      <c r="AL77" s="217"/>
      <c r="AM77" s="217"/>
      <c r="AN77" s="217"/>
      <c r="AO77" s="217"/>
      <c r="AP77" s="217"/>
      <c r="AQ77" s="217"/>
      <c r="AR77" s="217"/>
      <c r="AS77" s="217"/>
      <c r="AT77" s="355"/>
      <c r="AU77" s="217"/>
      <c r="AV77" s="217"/>
      <c r="AW77" s="217"/>
      <c r="AX77" s="217"/>
      <c r="AY77" s="217"/>
      <c r="AZ77" s="217"/>
      <c r="BA77" s="217"/>
      <c r="BB77" s="217"/>
      <c r="BC77" s="217"/>
      <c r="BD77" s="217"/>
      <c r="BE77" s="217"/>
      <c r="BF77" s="217"/>
      <c r="BG77" s="217"/>
      <c r="BH77" s="217"/>
    </row>
    <row r="78" spans="1:60">
      <c r="A78" s="254">
        <v>68</v>
      </c>
      <c r="B78" s="242"/>
      <c r="C78" s="243"/>
      <c r="D78" s="243"/>
      <c r="E78" s="357"/>
      <c r="F78" s="217"/>
      <c r="G78" s="217"/>
      <c r="H78" s="217"/>
      <c r="I78" s="217"/>
      <c r="J78" s="217"/>
      <c r="K78" s="217"/>
      <c r="L78" s="217"/>
      <c r="M78" s="217"/>
      <c r="N78" s="217"/>
      <c r="O78" s="217"/>
      <c r="P78" s="355"/>
      <c r="Q78" s="217"/>
      <c r="R78" s="217"/>
      <c r="S78" s="217"/>
      <c r="T78" s="217"/>
      <c r="U78" s="217"/>
      <c r="V78" s="217"/>
      <c r="W78" s="217"/>
      <c r="X78" s="217"/>
      <c r="Y78" s="217"/>
      <c r="Z78" s="217"/>
      <c r="AA78" s="217"/>
      <c r="AB78" s="217"/>
      <c r="AC78" s="217"/>
      <c r="AD78" s="217"/>
      <c r="AE78" s="355"/>
      <c r="AF78" s="217"/>
      <c r="AG78" s="217"/>
      <c r="AH78" s="217"/>
      <c r="AI78" s="217"/>
      <c r="AJ78" s="217"/>
      <c r="AK78" s="217"/>
      <c r="AL78" s="217"/>
      <c r="AM78" s="217"/>
      <c r="AN78" s="217"/>
      <c r="AO78" s="217"/>
      <c r="AP78" s="217"/>
      <c r="AQ78" s="217"/>
      <c r="AR78" s="217"/>
      <c r="AS78" s="217"/>
      <c r="AT78" s="355"/>
      <c r="AU78" s="217"/>
      <c r="AV78" s="217"/>
      <c r="AW78" s="217"/>
      <c r="AX78" s="217"/>
      <c r="AY78" s="217"/>
      <c r="AZ78" s="217"/>
      <c r="BA78" s="217"/>
      <c r="BB78" s="217"/>
      <c r="BC78" s="217"/>
      <c r="BD78" s="217"/>
      <c r="BE78" s="217"/>
      <c r="BF78" s="217"/>
      <c r="BG78" s="217"/>
      <c r="BH78" s="217"/>
    </row>
    <row r="79" spans="1:60">
      <c r="A79" s="254">
        <v>69</v>
      </c>
      <c r="B79" s="242"/>
      <c r="C79" s="243"/>
      <c r="D79" s="243"/>
      <c r="E79" s="357"/>
      <c r="F79" s="217"/>
      <c r="G79" s="217"/>
      <c r="H79" s="217"/>
      <c r="I79" s="217"/>
      <c r="J79" s="217"/>
      <c r="K79" s="217"/>
      <c r="L79" s="217"/>
      <c r="M79" s="217"/>
      <c r="N79" s="217"/>
      <c r="O79" s="217"/>
      <c r="P79" s="355"/>
      <c r="Q79" s="217"/>
      <c r="R79" s="217"/>
      <c r="S79" s="217"/>
      <c r="T79" s="217"/>
      <c r="U79" s="217"/>
      <c r="V79" s="217"/>
      <c r="W79" s="217"/>
      <c r="X79" s="217"/>
      <c r="Y79" s="217"/>
      <c r="Z79" s="217"/>
      <c r="AA79" s="217"/>
      <c r="AB79" s="217"/>
      <c r="AC79" s="217"/>
      <c r="AD79" s="217"/>
      <c r="AE79" s="355"/>
      <c r="AF79" s="217"/>
      <c r="AG79" s="217"/>
      <c r="AH79" s="217"/>
      <c r="AI79" s="217"/>
      <c r="AJ79" s="217"/>
      <c r="AK79" s="217"/>
      <c r="AL79" s="217"/>
      <c r="AM79" s="217"/>
      <c r="AN79" s="217"/>
      <c r="AO79" s="217"/>
      <c r="AP79" s="217"/>
      <c r="AQ79" s="217"/>
      <c r="AR79" s="217"/>
      <c r="AS79" s="217"/>
      <c r="AT79" s="355"/>
      <c r="AU79" s="217"/>
      <c r="AV79" s="217"/>
      <c r="AW79" s="217"/>
      <c r="AX79" s="217"/>
      <c r="AY79" s="217"/>
      <c r="AZ79" s="217"/>
      <c r="BA79" s="217"/>
      <c r="BB79" s="217"/>
      <c r="BC79" s="217"/>
      <c r="BD79" s="217"/>
      <c r="BE79" s="217"/>
      <c r="BF79" s="217"/>
      <c r="BG79" s="217"/>
      <c r="BH79" s="217"/>
    </row>
    <row r="80" spans="1:60">
      <c r="A80" s="254">
        <v>70</v>
      </c>
      <c r="B80" s="242"/>
      <c r="C80" s="243"/>
      <c r="D80" s="243"/>
      <c r="E80" s="357"/>
      <c r="F80" s="217"/>
      <c r="G80" s="217"/>
      <c r="H80" s="217"/>
      <c r="I80" s="217"/>
      <c r="J80" s="217"/>
      <c r="K80" s="217"/>
      <c r="L80" s="217"/>
      <c r="M80" s="217"/>
      <c r="N80" s="217"/>
      <c r="O80" s="217"/>
      <c r="P80" s="355"/>
      <c r="Q80" s="217"/>
      <c r="R80" s="217"/>
      <c r="S80" s="217"/>
      <c r="T80" s="217"/>
      <c r="U80" s="217"/>
      <c r="V80" s="217"/>
      <c r="W80" s="217"/>
      <c r="X80" s="217"/>
      <c r="Y80" s="217"/>
      <c r="Z80" s="217"/>
      <c r="AA80" s="217"/>
      <c r="AB80" s="217"/>
      <c r="AC80" s="217"/>
      <c r="AD80" s="217"/>
      <c r="AE80" s="355"/>
      <c r="AF80" s="217"/>
      <c r="AG80" s="217"/>
      <c r="AH80" s="217"/>
      <c r="AI80" s="217"/>
      <c r="AJ80" s="217"/>
      <c r="AK80" s="217"/>
      <c r="AL80" s="217"/>
      <c r="AM80" s="217"/>
      <c r="AN80" s="217"/>
      <c r="AO80" s="217"/>
      <c r="AP80" s="217"/>
      <c r="AQ80" s="217"/>
      <c r="AR80" s="217"/>
      <c r="AS80" s="217"/>
      <c r="AT80" s="355"/>
      <c r="AU80" s="217"/>
      <c r="AV80" s="217"/>
      <c r="AW80" s="217"/>
      <c r="AX80" s="217"/>
      <c r="AY80" s="217"/>
      <c r="AZ80" s="217"/>
      <c r="BA80" s="217"/>
      <c r="BB80" s="217"/>
      <c r="BC80" s="217"/>
      <c r="BD80" s="217"/>
      <c r="BE80" s="217"/>
      <c r="BF80" s="217"/>
      <c r="BG80" s="217"/>
      <c r="BH80" s="217"/>
    </row>
    <row r="81" spans="1:60">
      <c r="A81" s="254">
        <v>71</v>
      </c>
      <c r="B81" s="242"/>
      <c r="C81" s="243"/>
      <c r="D81" s="243"/>
      <c r="E81" s="357"/>
      <c r="F81" s="217"/>
      <c r="G81" s="217"/>
      <c r="H81" s="217"/>
      <c r="I81" s="217"/>
      <c r="J81" s="217"/>
      <c r="K81" s="217"/>
      <c r="L81" s="217"/>
      <c r="M81" s="217"/>
      <c r="N81" s="217"/>
      <c r="O81" s="217"/>
      <c r="P81" s="355"/>
      <c r="Q81" s="217"/>
      <c r="R81" s="217"/>
      <c r="S81" s="217"/>
      <c r="T81" s="217"/>
      <c r="U81" s="217"/>
      <c r="V81" s="217"/>
      <c r="W81" s="217"/>
      <c r="X81" s="217"/>
      <c r="Y81" s="217"/>
      <c r="Z81" s="217"/>
      <c r="AA81" s="217"/>
      <c r="AB81" s="217"/>
      <c r="AC81" s="217"/>
      <c r="AD81" s="217"/>
      <c r="AE81" s="355"/>
      <c r="AF81" s="217"/>
      <c r="AG81" s="217"/>
      <c r="AH81" s="217"/>
      <c r="AI81" s="217"/>
      <c r="AJ81" s="217"/>
      <c r="AK81" s="217"/>
      <c r="AL81" s="217"/>
      <c r="AM81" s="217"/>
      <c r="AN81" s="217"/>
      <c r="AO81" s="217"/>
      <c r="AP81" s="217"/>
      <c r="AQ81" s="217"/>
      <c r="AR81" s="217"/>
      <c r="AS81" s="217"/>
      <c r="AT81" s="355"/>
      <c r="AU81" s="217"/>
      <c r="AV81" s="217"/>
      <c r="AW81" s="217"/>
      <c r="AX81" s="217"/>
      <c r="AY81" s="217"/>
      <c r="AZ81" s="217"/>
      <c r="BA81" s="217"/>
      <c r="BB81" s="217"/>
      <c r="BC81" s="217"/>
      <c r="BD81" s="217"/>
      <c r="BE81" s="217"/>
      <c r="BF81" s="217"/>
      <c r="BG81" s="217"/>
      <c r="BH81" s="217"/>
    </row>
    <row r="82" spans="1:60">
      <c r="A82" s="254">
        <v>72</v>
      </c>
      <c r="B82" s="242"/>
      <c r="C82" s="243"/>
      <c r="D82" s="243"/>
      <c r="E82" s="357"/>
      <c r="F82" s="217"/>
      <c r="G82" s="217"/>
      <c r="H82" s="217"/>
      <c r="I82" s="217"/>
      <c r="J82" s="217"/>
      <c r="K82" s="217"/>
      <c r="L82" s="217"/>
      <c r="M82" s="217"/>
      <c r="N82" s="217"/>
      <c r="O82" s="217"/>
      <c r="P82" s="355"/>
      <c r="Q82" s="217"/>
      <c r="R82" s="217"/>
      <c r="S82" s="217"/>
      <c r="T82" s="217"/>
      <c r="U82" s="217"/>
      <c r="V82" s="217"/>
      <c r="W82" s="217"/>
      <c r="X82" s="217"/>
      <c r="Y82" s="217"/>
      <c r="Z82" s="217"/>
      <c r="AA82" s="217"/>
      <c r="AB82" s="217"/>
      <c r="AC82" s="217"/>
      <c r="AD82" s="217"/>
      <c r="AE82" s="355"/>
      <c r="AF82" s="217"/>
      <c r="AG82" s="217"/>
      <c r="AH82" s="217"/>
      <c r="AI82" s="217"/>
      <c r="AJ82" s="217"/>
      <c r="AK82" s="217"/>
      <c r="AL82" s="217"/>
      <c r="AM82" s="217"/>
      <c r="AN82" s="217"/>
      <c r="AO82" s="217"/>
      <c r="AP82" s="217"/>
      <c r="AQ82" s="217"/>
      <c r="AR82" s="217"/>
      <c r="AS82" s="217"/>
      <c r="AT82" s="355"/>
      <c r="AU82" s="217"/>
      <c r="AV82" s="217"/>
      <c r="AW82" s="217"/>
      <c r="AX82" s="217"/>
      <c r="AY82" s="217"/>
      <c r="AZ82" s="217"/>
      <c r="BA82" s="217"/>
      <c r="BB82" s="217"/>
      <c r="BC82" s="217"/>
      <c r="BD82" s="217"/>
      <c r="BE82" s="217"/>
      <c r="BF82" s="217"/>
      <c r="BG82" s="217"/>
      <c r="BH82" s="217"/>
    </row>
    <row r="83" spans="1:60">
      <c r="A83" s="254">
        <v>73</v>
      </c>
      <c r="B83" s="242"/>
      <c r="C83" s="243"/>
      <c r="D83" s="243"/>
      <c r="E83" s="357"/>
      <c r="F83" s="217"/>
      <c r="G83" s="217"/>
      <c r="H83" s="217"/>
      <c r="I83" s="217"/>
      <c r="J83" s="217"/>
      <c r="K83" s="217"/>
      <c r="L83" s="217"/>
      <c r="M83" s="217"/>
      <c r="N83" s="217"/>
      <c r="O83" s="217"/>
      <c r="P83" s="355"/>
      <c r="Q83" s="217"/>
      <c r="R83" s="217"/>
      <c r="S83" s="217"/>
      <c r="T83" s="217"/>
      <c r="U83" s="217"/>
      <c r="V83" s="217"/>
      <c r="W83" s="217"/>
      <c r="X83" s="217"/>
      <c r="Y83" s="217"/>
      <c r="Z83" s="217"/>
      <c r="AA83" s="217"/>
      <c r="AB83" s="217"/>
      <c r="AC83" s="217"/>
      <c r="AD83" s="217"/>
      <c r="AE83" s="355"/>
      <c r="AF83" s="217"/>
      <c r="AG83" s="217"/>
      <c r="AH83" s="217"/>
      <c r="AI83" s="217"/>
      <c r="AJ83" s="217"/>
      <c r="AK83" s="217"/>
      <c r="AL83" s="217"/>
      <c r="AM83" s="217"/>
      <c r="AN83" s="217"/>
      <c r="AO83" s="217"/>
      <c r="AP83" s="217"/>
      <c r="AQ83" s="217"/>
      <c r="AR83" s="217"/>
      <c r="AS83" s="217"/>
      <c r="AT83" s="355"/>
      <c r="AU83" s="217"/>
      <c r="AV83" s="217"/>
      <c r="AW83" s="217"/>
      <c r="AX83" s="217"/>
      <c r="AY83" s="217"/>
      <c r="AZ83" s="217"/>
      <c r="BA83" s="217"/>
      <c r="BB83" s="217"/>
      <c r="BC83" s="217"/>
      <c r="BD83" s="217"/>
      <c r="BE83" s="217"/>
      <c r="BF83" s="217"/>
      <c r="BG83" s="217"/>
      <c r="BH83" s="217"/>
    </row>
    <row r="84" spans="1:60">
      <c r="A84" s="254">
        <v>74</v>
      </c>
      <c r="B84" s="242"/>
      <c r="C84" s="243"/>
      <c r="D84" s="243"/>
      <c r="E84" s="357"/>
      <c r="F84" s="217"/>
      <c r="G84" s="217"/>
      <c r="H84" s="217"/>
      <c r="I84" s="217"/>
      <c r="J84" s="217"/>
      <c r="K84" s="217"/>
      <c r="L84" s="217"/>
      <c r="M84" s="217"/>
      <c r="N84" s="217"/>
      <c r="O84" s="217"/>
      <c r="P84" s="355"/>
      <c r="Q84" s="217"/>
      <c r="R84" s="217"/>
      <c r="S84" s="217"/>
      <c r="T84" s="217"/>
      <c r="U84" s="217"/>
      <c r="V84" s="217"/>
      <c r="W84" s="217"/>
      <c r="X84" s="217"/>
      <c r="Y84" s="217"/>
      <c r="Z84" s="217"/>
      <c r="AA84" s="217"/>
      <c r="AB84" s="217"/>
      <c r="AC84" s="217"/>
      <c r="AD84" s="217"/>
      <c r="AE84" s="355"/>
      <c r="AF84" s="217"/>
      <c r="AG84" s="217"/>
      <c r="AH84" s="217"/>
      <c r="AI84" s="217"/>
      <c r="AJ84" s="217"/>
      <c r="AK84" s="217"/>
      <c r="AL84" s="217"/>
      <c r="AM84" s="217"/>
      <c r="AN84" s="217"/>
      <c r="AO84" s="217"/>
      <c r="AP84" s="217"/>
      <c r="AQ84" s="217"/>
      <c r="AR84" s="217"/>
      <c r="AS84" s="217"/>
      <c r="AT84" s="355"/>
      <c r="AU84" s="217"/>
      <c r="AV84" s="217"/>
      <c r="AW84" s="217"/>
      <c r="AX84" s="217"/>
      <c r="AY84" s="217"/>
      <c r="AZ84" s="217"/>
      <c r="BA84" s="217"/>
      <c r="BB84" s="217"/>
      <c r="BC84" s="217"/>
      <c r="BD84" s="217"/>
      <c r="BE84" s="217"/>
      <c r="BF84" s="217"/>
      <c r="BG84" s="217"/>
      <c r="BH84" s="217"/>
    </row>
    <row r="85" spans="1:60">
      <c r="A85" s="254">
        <v>75</v>
      </c>
      <c r="B85" s="242"/>
      <c r="C85" s="243"/>
      <c r="D85" s="243"/>
      <c r="E85" s="357"/>
      <c r="F85" s="217"/>
      <c r="G85" s="217"/>
      <c r="H85" s="217"/>
      <c r="I85" s="217"/>
      <c r="J85" s="217"/>
      <c r="K85" s="217"/>
      <c r="L85" s="217"/>
      <c r="M85" s="217"/>
      <c r="N85" s="217"/>
      <c r="O85" s="217"/>
      <c r="P85" s="355"/>
      <c r="Q85" s="217"/>
      <c r="R85" s="217"/>
      <c r="S85" s="217"/>
      <c r="T85" s="217"/>
      <c r="U85" s="217"/>
      <c r="V85" s="217"/>
      <c r="W85" s="217"/>
      <c r="X85" s="217"/>
      <c r="Y85" s="217"/>
      <c r="Z85" s="217"/>
      <c r="AA85" s="217"/>
      <c r="AB85" s="217"/>
      <c r="AC85" s="217"/>
      <c r="AD85" s="217"/>
      <c r="AE85" s="355"/>
      <c r="AF85" s="217"/>
      <c r="AG85" s="217"/>
      <c r="AH85" s="217"/>
      <c r="AI85" s="217"/>
      <c r="AJ85" s="217"/>
      <c r="AK85" s="217"/>
      <c r="AL85" s="217"/>
      <c r="AM85" s="217"/>
      <c r="AN85" s="217"/>
      <c r="AO85" s="217"/>
      <c r="AP85" s="217"/>
      <c r="AQ85" s="217"/>
      <c r="AR85" s="217"/>
      <c r="AS85" s="217"/>
      <c r="AT85" s="355"/>
      <c r="AU85" s="217"/>
      <c r="AV85" s="217"/>
      <c r="AW85" s="217"/>
      <c r="AX85" s="217"/>
      <c r="AY85" s="217"/>
      <c r="AZ85" s="217"/>
      <c r="BA85" s="217"/>
      <c r="BB85" s="217"/>
      <c r="BC85" s="217"/>
      <c r="BD85" s="217"/>
      <c r="BE85" s="217"/>
      <c r="BF85" s="217"/>
      <c r="BG85" s="217"/>
      <c r="BH85" s="217"/>
    </row>
    <row r="86" spans="1:60">
      <c r="A86" s="254">
        <v>76</v>
      </c>
      <c r="B86" s="242"/>
      <c r="C86" s="243"/>
      <c r="D86" s="243"/>
      <c r="E86" s="357"/>
      <c r="F86" s="217"/>
      <c r="G86" s="217"/>
      <c r="H86" s="217"/>
      <c r="I86" s="217"/>
      <c r="J86" s="217"/>
      <c r="K86" s="217"/>
      <c r="L86" s="217"/>
      <c r="M86" s="217"/>
      <c r="N86" s="217"/>
      <c r="O86" s="217"/>
      <c r="P86" s="355"/>
      <c r="Q86" s="217"/>
      <c r="R86" s="217"/>
      <c r="S86" s="217"/>
      <c r="T86" s="217"/>
      <c r="U86" s="217"/>
      <c r="V86" s="217"/>
      <c r="W86" s="217"/>
      <c r="X86" s="217"/>
      <c r="Y86" s="217"/>
      <c r="Z86" s="217"/>
      <c r="AA86" s="217"/>
      <c r="AB86" s="217"/>
      <c r="AC86" s="217"/>
      <c r="AD86" s="217"/>
      <c r="AE86" s="355"/>
      <c r="AF86" s="217"/>
      <c r="AG86" s="217"/>
      <c r="AH86" s="217"/>
      <c r="AI86" s="217"/>
      <c r="AJ86" s="217"/>
      <c r="AK86" s="217"/>
      <c r="AL86" s="217"/>
      <c r="AM86" s="217"/>
      <c r="AN86" s="217"/>
      <c r="AO86" s="217"/>
      <c r="AP86" s="217"/>
      <c r="AQ86" s="217"/>
      <c r="AR86" s="217"/>
      <c r="AS86" s="217"/>
      <c r="AT86" s="355"/>
      <c r="AU86" s="217"/>
      <c r="AV86" s="217"/>
      <c r="AW86" s="217"/>
      <c r="AX86" s="217"/>
      <c r="AY86" s="217"/>
      <c r="AZ86" s="217"/>
      <c r="BA86" s="217"/>
      <c r="BB86" s="217"/>
      <c r="BC86" s="217"/>
      <c r="BD86" s="217"/>
      <c r="BE86" s="217"/>
      <c r="BF86" s="217"/>
      <c r="BG86" s="217"/>
      <c r="BH86" s="217"/>
    </row>
    <row r="87" spans="1:60">
      <c r="A87" s="254">
        <v>77</v>
      </c>
      <c r="B87" s="242"/>
      <c r="C87" s="243"/>
      <c r="D87" s="243"/>
      <c r="E87" s="357"/>
      <c r="F87" s="217"/>
      <c r="G87" s="217"/>
      <c r="H87" s="217"/>
      <c r="I87" s="217"/>
      <c r="J87" s="217"/>
      <c r="K87" s="217"/>
      <c r="L87" s="217"/>
      <c r="M87" s="217"/>
      <c r="N87" s="217"/>
      <c r="O87" s="217"/>
      <c r="P87" s="355"/>
      <c r="Q87" s="217"/>
      <c r="R87" s="217"/>
      <c r="S87" s="217"/>
      <c r="T87" s="217"/>
      <c r="U87" s="217"/>
      <c r="V87" s="217"/>
      <c r="W87" s="217"/>
      <c r="X87" s="217"/>
      <c r="Y87" s="217"/>
      <c r="Z87" s="217"/>
      <c r="AA87" s="217"/>
      <c r="AB87" s="217"/>
      <c r="AC87" s="217"/>
      <c r="AD87" s="217"/>
      <c r="AE87" s="355"/>
      <c r="AF87" s="217"/>
      <c r="AG87" s="217"/>
      <c r="AH87" s="217"/>
      <c r="AI87" s="217"/>
      <c r="AJ87" s="217"/>
      <c r="AK87" s="217"/>
      <c r="AL87" s="217"/>
      <c r="AM87" s="217"/>
      <c r="AN87" s="217"/>
      <c r="AO87" s="217"/>
      <c r="AP87" s="217"/>
      <c r="AQ87" s="217"/>
      <c r="AR87" s="217"/>
      <c r="AS87" s="217"/>
      <c r="AT87" s="355"/>
      <c r="AU87" s="217"/>
      <c r="AV87" s="217"/>
      <c r="AW87" s="217"/>
      <c r="AX87" s="217"/>
      <c r="AY87" s="217"/>
      <c r="AZ87" s="217"/>
      <c r="BA87" s="217"/>
      <c r="BB87" s="217"/>
      <c r="BC87" s="217"/>
      <c r="BD87" s="217"/>
      <c r="BE87" s="217"/>
      <c r="BF87" s="217"/>
      <c r="BG87" s="217"/>
      <c r="BH87" s="217"/>
    </row>
    <row r="88" spans="1:60">
      <c r="A88" s="254">
        <v>78</v>
      </c>
      <c r="B88" s="242"/>
      <c r="C88" s="243"/>
      <c r="D88" s="243"/>
      <c r="E88" s="357"/>
      <c r="F88" s="217"/>
      <c r="G88" s="217"/>
      <c r="H88" s="217"/>
      <c r="I88" s="217"/>
      <c r="J88" s="217"/>
      <c r="K88" s="217"/>
      <c r="L88" s="217"/>
      <c r="M88" s="217"/>
      <c r="N88" s="217"/>
      <c r="O88" s="217"/>
      <c r="P88" s="355"/>
      <c r="Q88" s="217"/>
      <c r="R88" s="217"/>
      <c r="S88" s="217"/>
      <c r="T88" s="217"/>
      <c r="U88" s="217"/>
      <c r="V88" s="217"/>
      <c r="W88" s="217"/>
      <c r="X88" s="217"/>
      <c r="Y88" s="217"/>
      <c r="Z88" s="217"/>
      <c r="AA88" s="217"/>
      <c r="AB88" s="217"/>
      <c r="AC88" s="217"/>
      <c r="AD88" s="217"/>
      <c r="AE88" s="355"/>
      <c r="AF88" s="217"/>
      <c r="AG88" s="217"/>
      <c r="AH88" s="217"/>
      <c r="AI88" s="217"/>
      <c r="AJ88" s="217"/>
      <c r="AK88" s="217"/>
      <c r="AL88" s="217"/>
      <c r="AM88" s="217"/>
      <c r="AN88" s="217"/>
      <c r="AO88" s="217"/>
      <c r="AP88" s="217"/>
      <c r="AQ88" s="217"/>
      <c r="AR88" s="217"/>
      <c r="AS88" s="217"/>
      <c r="AT88" s="355"/>
      <c r="AU88" s="217"/>
      <c r="AV88" s="217"/>
      <c r="AW88" s="217"/>
      <c r="AX88" s="217"/>
      <c r="AY88" s="217"/>
      <c r="AZ88" s="217"/>
      <c r="BA88" s="217"/>
      <c r="BB88" s="217"/>
      <c r="BC88" s="217"/>
      <c r="BD88" s="217"/>
      <c r="BE88" s="217"/>
      <c r="BF88" s="217"/>
      <c r="BG88" s="217"/>
      <c r="BH88" s="217"/>
    </row>
    <row r="89" spans="1:60">
      <c r="A89" s="254">
        <v>79</v>
      </c>
      <c r="B89" s="242"/>
      <c r="C89" s="243"/>
      <c r="D89" s="243"/>
      <c r="E89" s="357"/>
      <c r="F89" s="217"/>
      <c r="G89" s="217"/>
      <c r="H89" s="217"/>
      <c r="I89" s="217"/>
      <c r="J89" s="217"/>
      <c r="K89" s="217"/>
      <c r="L89" s="217"/>
      <c r="M89" s="217"/>
      <c r="N89" s="217"/>
      <c r="O89" s="217"/>
      <c r="P89" s="355"/>
      <c r="Q89" s="217"/>
      <c r="R89" s="217"/>
      <c r="S89" s="217"/>
      <c r="T89" s="217"/>
      <c r="U89" s="217"/>
      <c r="V89" s="217"/>
      <c r="W89" s="217"/>
      <c r="X89" s="217"/>
      <c r="Y89" s="217"/>
      <c r="Z89" s="217"/>
      <c r="AA89" s="217"/>
      <c r="AB89" s="217"/>
      <c r="AC89" s="217"/>
      <c r="AD89" s="217"/>
      <c r="AE89" s="355"/>
      <c r="AF89" s="217"/>
      <c r="AG89" s="217"/>
      <c r="AH89" s="217"/>
      <c r="AI89" s="217"/>
      <c r="AJ89" s="217"/>
      <c r="AK89" s="217"/>
      <c r="AL89" s="217"/>
      <c r="AM89" s="217"/>
      <c r="AN89" s="217"/>
      <c r="AO89" s="217"/>
      <c r="AP89" s="217"/>
      <c r="AQ89" s="217"/>
      <c r="AR89" s="217"/>
      <c r="AS89" s="217"/>
      <c r="AT89" s="355"/>
      <c r="AU89" s="217"/>
      <c r="AV89" s="217"/>
      <c r="AW89" s="217"/>
      <c r="AX89" s="217"/>
      <c r="AY89" s="217"/>
      <c r="AZ89" s="217"/>
      <c r="BA89" s="217"/>
      <c r="BB89" s="217"/>
      <c r="BC89" s="217"/>
      <c r="BD89" s="217"/>
      <c r="BE89" s="217"/>
      <c r="BF89" s="217"/>
      <c r="BG89" s="217"/>
      <c r="BH89" s="217"/>
    </row>
    <row r="90" spans="1:60">
      <c r="A90" s="254">
        <v>80</v>
      </c>
      <c r="B90" s="242"/>
      <c r="C90" s="243"/>
      <c r="D90" s="243"/>
      <c r="E90" s="357"/>
      <c r="F90" s="217"/>
      <c r="G90" s="217"/>
      <c r="H90" s="217"/>
      <c r="I90" s="217"/>
      <c r="J90" s="217"/>
      <c r="K90" s="217"/>
      <c r="L90" s="217"/>
      <c r="M90" s="217"/>
      <c r="N90" s="217"/>
      <c r="O90" s="217"/>
      <c r="P90" s="355"/>
      <c r="Q90" s="217"/>
      <c r="R90" s="217"/>
      <c r="S90" s="217"/>
      <c r="T90" s="217"/>
      <c r="U90" s="217"/>
      <c r="V90" s="217"/>
      <c r="W90" s="217"/>
      <c r="X90" s="217"/>
      <c r="Y90" s="217"/>
      <c r="Z90" s="217"/>
      <c r="AA90" s="217"/>
      <c r="AB90" s="217"/>
      <c r="AC90" s="217"/>
      <c r="AD90" s="217"/>
      <c r="AE90" s="355"/>
      <c r="AF90" s="217"/>
      <c r="AG90" s="217"/>
      <c r="AH90" s="217"/>
      <c r="AI90" s="217"/>
      <c r="AJ90" s="217"/>
      <c r="AK90" s="217"/>
      <c r="AL90" s="217"/>
      <c r="AM90" s="217"/>
      <c r="AN90" s="217"/>
      <c r="AO90" s="217"/>
      <c r="AP90" s="217"/>
      <c r="AQ90" s="217"/>
      <c r="AR90" s="217"/>
      <c r="AS90" s="217"/>
      <c r="AT90" s="355"/>
      <c r="AU90" s="217"/>
      <c r="AV90" s="217"/>
      <c r="AW90" s="217"/>
      <c r="AX90" s="217"/>
      <c r="AY90" s="217"/>
      <c r="AZ90" s="217"/>
      <c r="BA90" s="217"/>
      <c r="BB90" s="217"/>
      <c r="BC90" s="217"/>
      <c r="BD90" s="217"/>
      <c r="BE90" s="217"/>
      <c r="BF90" s="217"/>
      <c r="BG90" s="217"/>
      <c r="BH90" s="217"/>
    </row>
    <row r="91" spans="1:60">
      <c r="A91" s="254">
        <v>81</v>
      </c>
      <c r="B91" s="242"/>
      <c r="C91" s="243"/>
      <c r="D91" s="243"/>
      <c r="E91" s="357"/>
      <c r="F91" s="217"/>
      <c r="G91" s="217"/>
      <c r="H91" s="217"/>
      <c r="I91" s="217"/>
      <c r="J91" s="217"/>
      <c r="K91" s="217"/>
      <c r="L91" s="217"/>
      <c r="M91" s="217"/>
      <c r="N91" s="217"/>
      <c r="O91" s="217"/>
      <c r="P91" s="355"/>
      <c r="Q91" s="217"/>
      <c r="R91" s="217"/>
      <c r="S91" s="217"/>
      <c r="T91" s="217"/>
      <c r="U91" s="217"/>
      <c r="V91" s="217"/>
      <c r="W91" s="217"/>
      <c r="X91" s="217"/>
      <c r="Y91" s="217"/>
      <c r="Z91" s="217"/>
      <c r="AA91" s="217"/>
      <c r="AB91" s="217"/>
      <c r="AC91" s="217"/>
      <c r="AD91" s="217"/>
      <c r="AE91" s="355"/>
      <c r="AF91" s="217"/>
      <c r="AG91" s="217"/>
      <c r="AH91" s="217"/>
      <c r="AI91" s="217"/>
      <c r="AJ91" s="217"/>
      <c r="AK91" s="217"/>
      <c r="AL91" s="217"/>
      <c r="AM91" s="217"/>
      <c r="AN91" s="217"/>
      <c r="AO91" s="217"/>
      <c r="AP91" s="217"/>
      <c r="AQ91" s="217"/>
      <c r="AR91" s="217"/>
      <c r="AS91" s="217"/>
      <c r="AT91" s="355"/>
      <c r="AU91" s="217"/>
      <c r="AV91" s="217"/>
      <c r="AW91" s="217"/>
      <c r="AX91" s="217"/>
      <c r="AY91" s="217"/>
      <c r="AZ91" s="217"/>
      <c r="BA91" s="217"/>
      <c r="BB91" s="217"/>
      <c r="BC91" s="217"/>
      <c r="BD91" s="217"/>
      <c r="BE91" s="217"/>
      <c r="BF91" s="217"/>
      <c r="BG91" s="217"/>
      <c r="BH91" s="217"/>
    </row>
    <row r="92" spans="1:60">
      <c r="A92" s="254">
        <v>82</v>
      </c>
      <c r="B92" s="242"/>
      <c r="C92" s="243"/>
      <c r="D92" s="243"/>
      <c r="E92" s="357"/>
      <c r="F92" s="217"/>
      <c r="G92" s="217"/>
      <c r="H92" s="217"/>
      <c r="I92" s="217"/>
      <c r="J92" s="217"/>
      <c r="K92" s="217"/>
      <c r="L92" s="217"/>
      <c r="M92" s="217"/>
      <c r="N92" s="217"/>
      <c r="O92" s="217"/>
      <c r="P92" s="355"/>
      <c r="Q92" s="217"/>
      <c r="R92" s="217"/>
      <c r="S92" s="217"/>
      <c r="T92" s="217"/>
      <c r="U92" s="217"/>
      <c r="V92" s="217"/>
      <c r="W92" s="217"/>
      <c r="X92" s="217"/>
      <c r="Y92" s="217"/>
      <c r="Z92" s="217"/>
      <c r="AA92" s="217"/>
      <c r="AB92" s="217"/>
      <c r="AC92" s="217"/>
      <c r="AD92" s="217"/>
      <c r="AE92" s="355"/>
      <c r="AF92" s="217"/>
      <c r="AG92" s="217"/>
      <c r="AH92" s="217"/>
      <c r="AI92" s="217"/>
      <c r="AJ92" s="217"/>
      <c r="AK92" s="217"/>
      <c r="AL92" s="217"/>
      <c r="AM92" s="217"/>
      <c r="AN92" s="217"/>
      <c r="AO92" s="217"/>
      <c r="AP92" s="217"/>
      <c r="AQ92" s="217"/>
      <c r="AR92" s="217"/>
      <c r="AS92" s="217"/>
      <c r="AT92" s="355"/>
      <c r="AU92" s="217"/>
      <c r="AV92" s="217"/>
      <c r="AW92" s="217"/>
      <c r="AX92" s="217"/>
      <c r="AY92" s="217"/>
      <c r="AZ92" s="217"/>
      <c r="BA92" s="217"/>
      <c r="BB92" s="217"/>
      <c r="BC92" s="217"/>
      <c r="BD92" s="217"/>
      <c r="BE92" s="217"/>
      <c r="BF92" s="217"/>
      <c r="BG92" s="217"/>
      <c r="BH92" s="217"/>
    </row>
    <row r="93" spans="1:60">
      <c r="A93" s="254">
        <v>83</v>
      </c>
      <c r="B93" s="242"/>
      <c r="C93" s="243"/>
      <c r="D93" s="243"/>
      <c r="E93" s="357"/>
      <c r="F93" s="217"/>
      <c r="G93" s="217"/>
      <c r="H93" s="217"/>
      <c r="I93" s="217"/>
      <c r="J93" s="217"/>
      <c r="K93" s="217"/>
      <c r="L93" s="217"/>
      <c r="M93" s="217"/>
      <c r="N93" s="217"/>
      <c r="O93" s="217"/>
      <c r="P93" s="355"/>
      <c r="Q93" s="217"/>
      <c r="R93" s="217"/>
      <c r="S93" s="217"/>
      <c r="T93" s="217"/>
      <c r="U93" s="217"/>
      <c r="V93" s="217"/>
      <c r="W93" s="217"/>
      <c r="X93" s="217"/>
      <c r="Y93" s="217"/>
      <c r="Z93" s="217"/>
      <c r="AA93" s="217"/>
      <c r="AB93" s="217"/>
      <c r="AC93" s="217"/>
      <c r="AD93" s="217"/>
      <c r="AE93" s="355"/>
      <c r="AF93" s="217"/>
      <c r="AG93" s="217"/>
      <c r="AH93" s="217"/>
      <c r="AI93" s="217"/>
      <c r="AJ93" s="217"/>
      <c r="AK93" s="217"/>
      <c r="AL93" s="217"/>
      <c r="AM93" s="217"/>
      <c r="AN93" s="217"/>
      <c r="AO93" s="217"/>
      <c r="AP93" s="217"/>
      <c r="AQ93" s="217"/>
      <c r="AR93" s="217"/>
      <c r="AS93" s="217"/>
      <c r="AT93" s="355"/>
      <c r="AU93" s="217"/>
      <c r="AV93" s="217"/>
      <c r="AW93" s="217"/>
      <c r="AX93" s="217"/>
      <c r="AY93" s="217"/>
      <c r="AZ93" s="217"/>
      <c r="BA93" s="217"/>
      <c r="BB93" s="217"/>
      <c r="BC93" s="217"/>
      <c r="BD93" s="217"/>
      <c r="BE93" s="217"/>
      <c r="BF93" s="217"/>
      <c r="BG93" s="217"/>
      <c r="BH93" s="217"/>
    </row>
    <row r="94" spans="1:60">
      <c r="A94" s="254">
        <v>84</v>
      </c>
      <c r="B94" s="242"/>
      <c r="C94" s="243"/>
      <c r="D94" s="243"/>
      <c r="E94" s="357"/>
      <c r="F94" s="217"/>
      <c r="G94" s="217"/>
      <c r="H94" s="217"/>
      <c r="I94" s="217"/>
      <c r="J94" s="217"/>
      <c r="K94" s="217"/>
      <c r="L94" s="217"/>
      <c r="M94" s="217"/>
      <c r="N94" s="217"/>
      <c r="O94" s="217"/>
      <c r="P94" s="355"/>
      <c r="Q94" s="217"/>
      <c r="R94" s="217"/>
      <c r="S94" s="217"/>
      <c r="T94" s="217"/>
      <c r="U94" s="217"/>
      <c r="V94" s="217"/>
      <c r="W94" s="217"/>
      <c r="X94" s="217"/>
      <c r="Y94" s="217"/>
      <c r="Z94" s="217"/>
      <c r="AA94" s="217"/>
      <c r="AB94" s="217"/>
      <c r="AC94" s="217"/>
      <c r="AD94" s="217"/>
      <c r="AE94" s="355"/>
      <c r="AF94" s="217"/>
      <c r="AG94" s="217"/>
      <c r="AH94" s="217"/>
      <c r="AI94" s="217"/>
      <c r="AJ94" s="217"/>
      <c r="AK94" s="217"/>
      <c r="AL94" s="217"/>
      <c r="AM94" s="217"/>
      <c r="AN94" s="217"/>
      <c r="AO94" s="217"/>
      <c r="AP94" s="217"/>
      <c r="AQ94" s="217"/>
      <c r="AR94" s="217"/>
      <c r="AS94" s="217"/>
      <c r="AT94" s="355"/>
      <c r="AU94" s="217"/>
      <c r="AV94" s="217"/>
      <c r="AW94" s="217"/>
      <c r="AX94" s="217"/>
      <c r="AY94" s="217"/>
      <c r="AZ94" s="217"/>
      <c r="BA94" s="217"/>
      <c r="BB94" s="217"/>
      <c r="BC94" s="217"/>
      <c r="BD94" s="217"/>
      <c r="BE94" s="217"/>
      <c r="BF94" s="217"/>
      <c r="BG94" s="217"/>
      <c r="BH94" s="217"/>
    </row>
    <row r="95" spans="1:60">
      <c r="A95" s="254">
        <v>85</v>
      </c>
      <c r="B95" s="242"/>
      <c r="C95" s="243"/>
      <c r="D95" s="243"/>
      <c r="E95" s="357"/>
      <c r="F95" s="217"/>
      <c r="G95" s="217"/>
      <c r="H95" s="217"/>
      <c r="I95" s="217"/>
      <c r="J95" s="217"/>
      <c r="K95" s="217"/>
      <c r="L95" s="217"/>
      <c r="M95" s="217"/>
      <c r="N95" s="217"/>
      <c r="O95" s="217"/>
      <c r="P95" s="355"/>
      <c r="Q95" s="217"/>
      <c r="R95" s="217"/>
      <c r="S95" s="217"/>
      <c r="T95" s="217"/>
      <c r="U95" s="217"/>
      <c r="V95" s="217"/>
      <c r="W95" s="217"/>
      <c r="X95" s="217"/>
      <c r="Y95" s="217"/>
      <c r="Z95" s="217"/>
      <c r="AA95" s="217"/>
      <c r="AB95" s="217"/>
      <c r="AC95" s="217"/>
      <c r="AD95" s="217"/>
      <c r="AE95" s="355"/>
      <c r="AF95" s="217"/>
      <c r="AG95" s="217"/>
      <c r="AH95" s="217"/>
      <c r="AI95" s="217"/>
      <c r="AJ95" s="217"/>
      <c r="AK95" s="217"/>
      <c r="AL95" s="217"/>
      <c r="AM95" s="217"/>
      <c r="AN95" s="217"/>
      <c r="AO95" s="217"/>
      <c r="AP95" s="217"/>
      <c r="AQ95" s="217"/>
      <c r="AR95" s="217"/>
      <c r="AS95" s="217"/>
      <c r="AT95" s="355"/>
      <c r="AU95" s="217"/>
      <c r="AV95" s="217"/>
      <c r="AW95" s="217"/>
      <c r="AX95" s="217"/>
      <c r="AY95" s="217"/>
      <c r="AZ95" s="217"/>
      <c r="BA95" s="217"/>
      <c r="BB95" s="217"/>
      <c r="BC95" s="217"/>
      <c r="BD95" s="217"/>
      <c r="BE95" s="217"/>
      <c r="BF95" s="217"/>
      <c r="BG95" s="217"/>
      <c r="BH95" s="217"/>
    </row>
    <row r="96" spans="1:60">
      <c r="A96" s="254">
        <v>86</v>
      </c>
      <c r="B96" s="242"/>
      <c r="C96" s="243"/>
      <c r="D96" s="243"/>
      <c r="E96" s="357"/>
      <c r="F96" s="217"/>
      <c r="G96" s="217"/>
      <c r="H96" s="217"/>
      <c r="I96" s="217"/>
      <c r="J96" s="217"/>
      <c r="K96" s="217"/>
      <c r="L96" s="217"/>
      <c r="M96" s="217"/>
      <c r="N96" s="217"/>
      <c r="O96" s="217"/>
      <c r="P96" s="355"/>
      <c r="Q96" s="217"/>
      <c r="R96" s="217"/>
      <c r="S96" s="217"/>
      <c r="T96" s="217"/>
      <c r="U96" s="217"/>
      <c r="V96" s="217"/>
      <c r="W96" s="217"/>
      <c r="X96" s="217"/>
      <c r="Y96" s="217"/>
      <c r="Z96" s="217"/>
      <c r="AA96" s="217"/>
      <c r="AB96" s="217"/>
      <c r="AC96" s="217"/>
      <c r="AD96" s="217"/>
      <c r="AE96" s="355"/>
      <c r="AF96" s="217"/>
      <c r="AG96" s="217"/>
      <c r="AH96" s="217"/>
      <c r="AI96" s="217"/>
      <c r="AJ96" s="217"/>
      <c r="AK96" s="217"/>
      <c r="AL96" s="217"/>
      <c r="AM96" s="217"/>
      <c r="AN96" s="217"/>
      <c r="AO96" s="217"/>
      <c r="AP96" s="217"/>
      <c r="AQ96" s="217"/>
      <c r="AR96" s="217"/>
      <c r="AS96" s="217"/>
      <c r="AT96" s="355"/>
      <c r="AU96" s="217"/>
      <c r="AV96" s="217"/>
      <c r="AW96" s="217"/>
      <c r="AX96" s="217"/>
      <c r="AY96" s="217"/>
      <c r="AZ96" s="217"/>
      <c r="BA96" s="217"/>
      <c r="BB96" s="217"/>
      <c r="BC96" s="217"/>
      <c r="BD96" s="217"/>
      <c r="BE96" s="217"/>
      <c r="BF96" s="217"/>
      <c r="BG96" s="217"/>
      <c r="BH96" s="217"/>
    </row>
    <row r="97" spans="1:60">
      <c r="A97" s="254">
        <v>87</v>
      </c>
      <c r="B97" s="242"/>
      <c r="C97" s="243"/>
      <c r="D97" s="243"/>
      <c r="E97" s="357"/>
      <c r="F97" s="217"/>
      <c r="G97" s="217"/>
      <c r="H97" s="217"/>
      <c r="I97" s="217"/>
      <c r="J97" s="217"/>
      <c r="K97" s="217"/>
      <c r="L97" s="217"/>
      <c r="M97" s="217"/>
      <c r="N97" s="217"/>
      <c r="O97" s="217"/>
      <c r="P97" s="355"/>
      <c r="Q97" s="217"/>
      <c r="R97" s="217"/>
      <c r="S97" s="217"/>
      <c r="T97" s="217"/>
      <c r="U97" s="217"/>
      <c r="V97" s="217"/>
      <c r="W97" s="217"/>
      <c r="X97" s="217"/>
      <c r="Y97" s="217"/>
      <c r="Z97" s="217"/>
      <c r="AA97" s="217"/>
      <c r="AB97" s="217"/>
      <c r="AC97" s="217"/>
      <c r="AD97" s="217"/>
      <c r="AE97" s="355"/>
      <c r="AF97" s="217"/>
      <c r="AG97" s="217"/>
      <c r="AH97" s="217"/>
      <c r="AI97" s="217"/>
      <c r="AJ97" s="217"/>
      <c r="AK97" s="217"/>
      <c r="AL97" s="217"/>
      <c r="AM97" s="217"/>
      <c r="AN97" s="217"/>
      <c r="AO97" s="217"/>
      <c r="AP97" s="217"/>
      <c r="AQ97" s="217"/>
      <c r="AR97" s="217"/>
      <c r="AS97" s="217"/>
      <c r="AT97" s="355"/>
      <c r="AU97" s="217"/>
      <c r="AV97" s="217"/>
      <c r="AW97" s="217"/>
      <c r="AX97" s="217"/>
      <c r="AY97" s="217"/>
      <c r="AZ97" s="217"/>
      <c r="BA97" s="217"/>
      <c r="BB97" s="217"/>
      <c r="BC97" s="217"/>
      <c r="BD97" s="217"/>
      <c r="BE97" s="217"/>
      <c r="BF97" s="217"/>
      <c r="BG97" s="217"/>
      <c r="BH97" s="217"/>
    </row>
    <row r="98" spans="1:60">
      <c r="A98" s="254">
        <v>88</v>
      </c>
      <c r="B98" s="242"/>
      <c r="C98" s="243"/>
      <c r="D98" s="243"/>
      <c r="E98" s="357"/>
      <c r="F98" s="217"/>
      <c r="G98" s="217"/>
      <c r="H98" s="217"/>
      <c r="I98" s="217"/>
      <c r="J98" s="217"/>
      <c r="K98" s="217"/>
      <c r="L98" s="217"/>
      <c r="M98" s="217"/>
      <c r="N98" s="217"/>
      <c r="O98" s="217"/>
      <c r="P98" s="355"/>
      <c r="Q98" s="217"/>
      <c r="R98" s="217"/>
      <c r="S98" s="217"/>
      <c r="T98" s="217"/>
      <c r="U98" s="217"/>
      <c r="V98" s="217"/>
      <c r="W98" s="217"/>
      <c r="X98" s="217"/>
      <c r="Y98" s="217"/>
      <c r="Z98" s="217"/>
      <c r="AA98" s="217"/>
      <c r="AB98" s="217"/>
      <c r="AC98" s="217"/>
      <c r="AD98" s="217"/>
      <c r="AE98" s="355"/>
      <c r="AF98" s="217"/>
      <c r="AG98" s="217"/>
      <c r="AH98" s="217"/>
      <c r="AI98" s="217"/>
      <c r="AJ98" s="217"/>
      <c r="AK98" s="217"/>
      <c r="AL98" s="217"/>
      <c r="AM98" s="217"/>
      <c r="AN98" s="217"/>
      <c r="AO98" s="217"/>
      <c r="AP98" s="217"/>
      <c r="AQ98" s="217"/>
      <c r="AR98" s="217"/>
      <c r="AS98" s="217"/>
      <c r="AT98" s="355"/>
      <c r="AU98" s="217"/>
      <c r="AV98" s="217"/>
      <c r="AW98" s="217"/>
      <c r="AX98" s="217"/>
      <c r="AY98" s="217"/>
      <c r="AZ98" s="217"/>
      <c r="BA98" s="217"/>
      <c r="BB98" s="217"/>
      <c r="BC98" s="217"/>
      <c r="BD98" s="217"/>
      <c r="BE98" s="217"/>
      <c r="BF98" s="217"/>
      <c r="BG98" s="217"/>
      <c r="BH98" s="217"/>
    </row>
    <row r="99" spans="1:60">
      <c r="A99" s="254">
        <v>89</v>
      </c>
      <c r="B99" s="242"/>
      <c r="C99" s="243"/>
      <c r="D99" s="243"/>
      <c r="E99" s="357"/>
      <c r="F99" s="217"/>
      <c r="G99" s="217"/>
      <c r="H99" s="217"/>
      <c r="I99" s="217"/>
      <c r="J99" s="217"/>
      <c r="K99" s="217"/>
      <c r="L99" s="217"/>
      <c r="M99" s="217"/>
      <c r="N99" s="217"/>
      <c r="O99" s="217"/>
      <c r="P99" s="355"/>
      <c r="Q99" s="217"/>
      <c r="R99" s="217"/>
      <c r="S99" s="217"/>
      <c r="T99" s="217"/>
      <c r="U99" s="217"/>
      <c r="V99" s="217"/>
      <c r="W99" s="217"/>
      <c r="X99" s="217"/>
      <c r="Y99" s="217"/>
      <c r="Z99" s="217"/>
      <c r="AA99" s="217"/>
      <c r="AB99" s="217"/>
      <c r="AC99" s="217"/>
      <c r="AD99" s="217"/>
      <c r="AE99" s="355"/>
      <c r="AF99" s="217"/>
      <c r="AG99" s="217"/>
      <c r="AH99" s="217"/>
      <c r="AI99" s="217"/>
      <c r="AJ99" s="217"/>
      <c r="AK99" s="217"/>
      <c r="AL99" s="217"/>
      <c r="AM99" s="217"/>
      <c r="AN99" s="217"/>
      <c r="AO99" s="217"/>
      <c r="AP99" s="217"/>
      <c r="AQ99" s="217"/>
      <c r="AR99" s="217"/>
      <c r="AS99" s="217"/>
      <c r="AT99" s="355"/>
      <c r="AU99" s="217"/>
      <c r="AV99" s="217"/>
      <c r="AW99" s="217"/>
      <c r="AX99" s="217"/>
      <c r="AY99" s="217"/>
      <c r="AZ99" s="217"/>
      <c r="BA99" s="217"/>
      <c r="BB99" s="217"/>
      <c r="BC99" s="217"/>
      <c r="BD99" s="217"/>
      <c r="BE99" s="217"/>
      <c r="BF99" s="217"/>
      <c r="BG99" s="217"/>
      <c r="BH99" s="217"/>
    </row>
    <row r="100" spans="1:60">
      <c r="A100" s="254">
        <v>90</v>
      </c>
      <c r="B100" s="242"/>
      <c r="C100" s="243"/>
      <c r="D100" s="243"/>
      <c r="E100" s="357"/>
      <c r="F100" s="217"/>
      <c r="G100" s="217"/>
      <c r="H100" s="217"/>
      <c r="I100" s="217"/>
      <c r="J100" s="217"/>
      <c r="K100" s="217"/>
      <c r="L100" s="217"/>
      <c r="M100" s="217"/>
      <c r="N100" s="217"/>
      <c r="O100" s="217"/>
      <c r="P100" s="355"/>
      <c r="Q100" s="217"/>
      <c r="R100" s="217"/>
      <c r="S100" s="217"/>
      <c r="T100" s="217"/>
      <c r="U100" s="217"/>
      <c r="V100" s="217"/>
      <c r="W100" s="217"/>
      <c r="X100" s="217"/>
      <c r="Y100" s="217"/>
      <c r="Z100" s="217"/>
      <c r="AA100" s="217"/>
      <c r="AB100" s="217"/>
      <c r="AC100" s="217"/>
      <c r="AD100" s="217"/>
      <c r="AE100" s="355"/>
      <c r="AF100" s="217"/>
      <c r="AG100" s="217"/>
      <c r="AH100" s="217"/>
      <c r="AI100" s="217"/>
      <c r="AJ100" s="217"/>
      <c r="AK100" s="217"/>
      <c r="AL100" s="217"/>
      <c r="AM100" s="217"/>
      <c r="AN100" s="217"/>
      <c r="AO100" s="217"/>
      <c r="AP100" s="217"/>
      <c r="AQ100" s="217"/>
      <c r="AR100" s="217"/>
      <c r="AS100" s="217"/>
      <c r="AT100" s="355"/>
      <c r="AU100" s="217"/>
      <c r="AV100" s="217"/>
      <c r="AW100" s="217"/>
      <c r="AX100" s="217"/>
      <c r="AY100" s="217"/>
      <c r="AZ100" s="217"/>
      <c r="BA100" s="217"/>
      <c r="BB100" s="217"/>
      <c r="BC100" s="217"/>
      <c r="BD100" s="217"/>
      <c r="BE100" s="217"/>
      <c r="BF100" s="217"/>
      <c r="BG100" s="217"/>
      <c r="BH100" s="217"/>
    </row>
    <row r="101" spans="1:60">
      <c r="A101" s="254">
        <v>91</v>
      </c>
      <c r="B101" s="242"/>
      <c r="C101" s="243"/>
      <c r="D101" s="243"/>
      <c r="E101" s="357"/>
      <c r="F101" s="217"/>
      <c r="G101" s="217"/>
      <c r="H101" s="217"/>
      <c r="I101" s="217"/>
      <c r="J101" s="217"/>
      <c r="K101" s="217"/>
      <c r="L101" s="217"/>
      <c r="M101" s="217"/>
      <c r="N101" s="217"/>
      <c r="O101" s="217"/>
      <c r="P101" s="355"/>
      <c r="Q101" s="217"/>
      <c r="R101" s="217"/>
      <c r="S101" s="217"/>
      <c r="T101" s="217"/>
      <c r="U101" s="217"/>
      <c r="V101" s="217"/>
      <c r="W101" s="217"/>
      <c r="X101" s="217"/>
      <c r="Y101" s="217"/>
      <c r="Z101" s="217"/>
      <c r="AA101" s="217"/>
      <c r="AB101" s="217"/>
      <c r="AC101" s="217"/>
      <c r="AD101" s="217"/>
      <c r="AE101" s="355"/>
      <c r="AF101" s="217"/>
      <c r="AG101" s="217"/>
      <c r="AH101" s="217"/>
      <c r="AI101" s="217"/>
      <c r="AJ101" s="217"/>
      <c r="AK101" s="217"/>
      <c r="AL101" s="217"/>
      <c r="AM101" s="217"/>
      <c r="AN101" s="217"/>
      <c r="AO101" s="217"/>
      <c r="AP101" s="217"/>
      <c r="AQ101" s="217"/>
      <c r="AR101" s="217"/>
      <c r="AS101" s="217"/>
      <c r="AT101" s="355"/>
      <c r="AU101" s="217"/>
      <c r="AV101" s="217"/>
      <c r="AW101" s="217"/>
      <c r="AX101" s="217"/>
      <c r="AY101" s="217"/>
      <c r="AZ101" s="217"/>
      <c r="BA101" s="217"/>
      <c r="BB101" s="217"/>
      <c r="BC101" s="217"/>
      <c r="BD101" s="217"/>
      <c r="BE101" s="217"/>
      <c r="BF101" s="217"/>
      <c r="BG101" s="217"/>
      <c r="BH101" s="217"/>
    </row>
    <row r="102" spans="1:60">
      <c r="A102" s="254">
        <v>92</v>
      </c>
      <c r="B102" s="242"/>
      <c r="C102" s="243"/>
      <c r="D102" s="243"/>
      <c r="E102" s="357"/>
      <c r="F102" s="217"/>
      <c r="G102" s="217"/>
      <c r="H102" s="217"/>
      <c r="I102" s="217"/>
      <c r="J102" s="217"/>
      <c r="K102" s="217"/>
      <c r="L102" s="217"/>
      <c r="M102" s="217"/>
      <c r="N102" s="217"/>
      <c r="O102" s="217"/>
      <c r="P102" s="355"/>
      <c r="Q102" s="217"/>
      <c r="R102" s="217"/>
      <c r="S102" s="217"/>
      <c r="T102" s="217"/>
      <c r="U102" s="217"/>
      <c r="V102" s="217"/>
      <c r="W102" s="217"/>
      <c r="X102" s="217"/>
      <c r="Y102" s="217"/>
      <c r="Z102" s="217"/>
      <c r="AA102" s="217"/>
      <c r="AB102" s="217"/>
      <c r="AC102" s="217"/>
      <c r="AD102" s="217"/>
      <c r="AE102" s="355"/>
      <c r="AF102" s="217"/>
      <c r="AG102" s="217"/>
      <c r="AH102" s="217"/>
      <c r="AI102" s="217"/>
      <c r="AJ102" s="217"/>
      <c r="AK102" s="217"/>
      <c r="AL102" s="217"/>
      <c r="AM102" s="217"/>
      <c r="AN102" s="217"/>
      <c r="AO102" s="217"/>
      <c r="AP102" s="217"/>
      <c r="AQ102" s="217"/>
      <c r="AR102" s="217"/>
      <c r="AS102" s="217"/>
      <c r="AT102" s="355"/>
      <c r="AU102" s="217"/>
      <c r="AV102" s="217"/>
      <c r="AW102" s="217"/>
      <c r="AX102" s="217"/>
      <c r="AY102" s="217"/>
      <c r="AZ102" s="217"/>
      <c r="BA102" s="217"/>
      <c r="BB102" s="217"/>
      <c r="BC102" s="217"/>
      <c r="BD102" s="217"/>
      <c r="BE102" s="217"/>
      <c r="BF102" s="217"/>
      <c r="BG102" s="217"/>
      <c r="BH102" s="217"/>
    </row>
    <row r="103" spans="1:60">
      <c r="A103" s="254">
        <v>93</v>
      </c>
      <c r="B103" s="242"/>
      <c r="C103" s="243"/>
      <c r="D103" s="243"/>
      <c r="E103" s="357"/>
      <c r="F103" s="217"/>
      <c r="G103" s="217"/>
      <c r="H103" s="217"/>
      <c r="I103" s="217"/>
      <c r="J103" s="217"/>
      <c r="K103" s="217"/>
      <c r="L103" s="217"/>
      <c r="M103" s="217"/>
      <c r="N103" s="217"/>
      <c r="O103" s="217"/>
      <c r="P103" s="355"/>
      <c r="Q103" s="217"/>
      <c r="R103" s="217"/>
      <c r="S103" s="217"/>
      <c r="T103" s="217"/>
      <c r="U103" s="217"/>
      <c r="V103" s="217"/>
      <c r="W103" s="217"/>
      <c r="X103" s="217"/>
      <c r="Y103" s="217"/>
      <c r="Z103" s="217"/>
      <c r="AA103" s="217"/>
      <c r="AB103" s="217"/>
      <c r="AC103" s="217"/>
      <c r="AD103" s="217"/>
      <c r="AE103" s="355"/>
      <c r="AF103" s="217"/>
      <c r="AG103" s="217"/>
      <c r="AH103" s="217"/>
      <c r="AI103" s="217"/>
      <c r="AJ103" s="217"/>
      <c r="AK103" s="217"/>
      <c r="AL103" s="217"/>
      <c r="AM103" s="217"/>
      <c r="AN103" s="217"/>
      <c r="AO103" s="217"/>
      <c r="AP103" s="217"/>
      <c r="AQ103" s="217"/>
      <c r="AR103" s="217"/>
      <c r="AS103" s="217"/>
      <c r="AT103" s="355"/>
      <c r="AU103" s="217"/>
      <c r="AV103" s="217"/>
      <c r="AW103" s="217"/>
      <c r="AX103" s="217"/>
      <c r="AY103" s="217"/>
      <c r="AZ103" s="217"/>
      <c r="BA103" s="217"/>
      <c r="BB103" s="217"/>
      <c r="BC103" s="217"/>
      <c r="BD103" s="217"/>
      <c r="BE103" s="217"/>
      <c r="BF103" s="217"/>
      <c r="BG103" s="217"/>
      <c r="BH103" s="217"/>
    </row>
    <row r="104" spans="1:60">
      <c r="A104" s="254">
        <v>94</v>
      </c>
      <c r="B104" s="242"/>
      <c r="C104" s="243"/>
      <c r="D104" s="243"/>
      <c r="E104" s="357"/>
      <c r="F104" s="217"/>
      <c r="G104" s="217"/>
      <c r="H104" s="217"/>
      <c r="I104" s="217"/>
      <c r="J104" s="217"/>
      <c r="K104" s="217"/>
      <c r="L104" s="217"/>
      <c r="M104" s="217"/>
      <c r="N104" s="217"/>
      <c r="O104" s="217"/>
      <c r="P104" s="355"/>
      <c r="Q104" s="217"/>
      <c r="R104" s="217"/>
      <c r="S104" s="217"/>
      <c r="T104" s="217"/>
      <c r="U104" s="217"/>
      <c r="V104" s="217"/>
      <c r="W104" s="217"/>
      <c r="X104" s="217"/>
      <c r="Y104" s="217"/>
      <c r="Z104" s="217"/>
      <c r="AA104" s="217"/>
      <c r="AB104" s="217"/>
      <c r="AC104" s="217"/>
      <c r="AD104" s="217"/>
      <c r="AE104" s="355"/>
      <c r="AF104" s="217"/>
      <c r="AG104" s="217"/>
      <c r="AH104" s="217"/>
      <c r="AI104" s="217"/>
      <c r="AJ104" s="217"/>
      <c r="AK104" s="217"/>
      <c r="AL104" s="217"/>
      <c r="AM104" s="217"/>
      <c r="AN104" s="217"/>
      <c r="AO104" s="217"/>
      <c r="AP104" s="217"/>
      <c r="AQ104" s="217"/>
      <c r="AR104" s="217"/>
      <c r="AS104" s="217"/>
      <c r="AT104" s="355"/>
      <c r="AU104" s="217"/>
      <c r="AV104" s="217"/>
      <c r="AW104" s="217"/>
      <c r="AX104" s="217"/>
      <c r="AY104" s="217"/>
      <c r="AZ104" s="217"/>
      <c r="BA104" s="217"/>
      <c r="BB104" s="217"/>
      <c r="BC104" s="217"/>
      <c r="BD104" s="217"/>
      <c r="BE104" s="217"/>
      <c r="BF104" s="217"/>
      <c r="BG104" s="217"/>
      <c r="BH104" s="217"/>
    </row>
    <row r="105" spans="1:60">
      <c r="A105" s="254">
        <v>95</v>
      </c>
      <c r="B105" s="242"/>
      <c r="C105" s="243"/>
      <c r="D105" s="243"/>
      <c r="E105" s="357"/>
      <c r="F105" s="217"/>
      <c r="G105" s="217"/>
      <c r="H105" s="217"/>
      <c r="I105" s="217"/>
      <c r="J105" s="217"/>
      <c r="K105" s="217"/>
      <c r="L105" s="217"/>
      <c r="M105" s="217"/>
      <c r="N105" s="217"/>
      <c r="O105" s="217"/>
      <c r="P105" s="355"/>
      <c r="Q105" s="217"/>
      <c r="R105" s="217"/>
      <c r="S105" s="217"/>
      <c r="T105" s="217"/>
      <c r="U105" s="217"/>
      <c r="V105" s="217"/>
      <c r="W105" s="217"/>
      <c r="X105" s="217"/>
      <c r="Y105" s="217"/>
      <c r="Z105" s="217"/>
      <c r="AA105" s="217"/>
      <c r="AB105" s="217"/>
      <c r="AC105" s="217"/>
      <c r="AD105" s="217"/>
      <c r="AE105" s="355"/>
      <c r="AF105" s="217"/>
      <c r="AG105" s="217"/>
      <c r="AH105" s="217"/>
      <c r="AI105" s="217"/>
      <c r="AJ105" s="217"/>
      <c r="AK105" s="217"/>
      <c r="AL105" s="217"/>
      <c r="AM105" s="217"/>
      <c r="AN105" s="217"/>
      <c r="AO105" s="217"/>
      <c r="AP105" s="217"/>
      <c r="AQ105" s="217"/>
      <c r="AR105" s="217"/>
      <c r="AS105" s="217"/>
      <c r="AT105" s="355"/>
      <c r="AU105" s="217"/>
      <c r="AV105" s="217"/>
      <c r="AW105" s="217"/>
      <c r="AX105" s="217"/>
      <c r="AY105" s="217"/>
      <c r="AZ105" s="217"/>
      <c r="BA105" s="217"/>
      <c r="BB105" s="217"/>
      <c r="BC105" s="217"/>
      <c r="BD105" s="217"/>
      <c r="BE105" s="217"/>
      <c r="BF105" s="217"/>
      <c r="BG105" s="217"/>
      <c r="BH105" s="217"/>
    </row>
    <row r="106" spans="1:60">
      <c r="A106" s="254">
        <v>96</v>
      </c>
      <c r="B106" s="242"/>
      <c r="C106" s="243"/>
      <c r="D106" s="243"/>
      <c r="E106" s="357"/>
      <c r="F106" s="217"/>
      <c r="G106" s="217"/>
      <c r="H106" s="217"/>
      <c r="I106" s="217"/>
      <c r="J106" s="217"/>
      <c r="K106" s="217"/>
      <c r="L106" s="217"/>
      <c r="M106" s="217"/>
      <c r="N106" s="217"/>
      <c r="O106" s="217"/>
      <c r="P106" s="355"/>
      <c r="Q106" s="217"/>
      <c r="R106" s="217"/>
      <c r="S106" s="217"/>
      <c r="T106" s="217"/>
      <c r="U106" s="217"/>
      <c r="V106" s="217"/>
      <c r="W106" s="217"/>
      <c r="X106" s="217"/>
      <c r="Y106" s="217"/>
      <c r="Z106" s="217"/>
      <c r="AA106" s="217"/>
      <c r="AB106" s="217"/>
      <c r="AC106" s="217"/>
      <c r="AD106" s="217"/>
      <c r="AE106" s="355"/>
      <c r="AF106" s="217"/>
      <c r="AG106" s="217"/>
      <c r="AH106" s="217"/>
      <c r="AI106" s="217"/>
      <c r="AJ106" s="217"/>
      <c r="AK106" s="217"/>
      <c r="AL106" s="217"/>
      <c r="AM106" s="217"/>
      <c r="AN106" s="217"/>
      <c r="AO106" s="217"/>
      <c r="AP106" s="217"/>
      <c r="AQ106" s="217"/>
      <c r="AR106" s="217"/>
      <c r="AS106" s="217"/>
      <c r="AT106" s="355"/>
      <c r="AU106" s="217"/>
      <c r="AV106" s="217"/>
      <c r="AW106" s="217"/>
      <c r="AX106" s="217"/>
      <c r="AY106" s="217"/>
      <c r="AZ106" s="217"/>
      <c r="BA106" s="217"/>
      <c r="BB106" s="217"/>
      <c r="BC106" s="217"/>
      <c r="BD106" s="217"/>
      <c r="BE106" s="217"/>
      <c r="BF106" s="217"/>
      <c r="BG106" s="217"/>
      <c r="BH106" s="217"/>
    </row>
    <row r="107" spans="1:60">
      <c r="A107" s="254">
        <v>97</v>
      </c>
      <c r="B107" s="242"/>
      <c r="C107" s="243"/>
      <c r="D107" s="243"/>
      <c r="E107" s="357"/>
      <c r="F107" s="217"/>
      <c r="G107" s="217"/>
      <c r="H107" s="217"/>
      <c r="I107" s="217"/>
      <c r="J107" s="217"/>
      <c r="K107" s="217"/>
      <c r="L107" s="217"/>
      <c r="M107" s="217"/>
      <c r="N107" s="217"/>
      <c r="O107" s="217"/>
      <c r="P107" s="355"/>
      <c r="Q107" s="217"/>
      <c r="R107" s="217"/>
      <c r="S107" s="217"/>
      <c r="T107" s="217"/>
      <c r="U107" s="217"/>
      <c r="V107" s="217"/>
      <c r="W107" s="217"/>
      <c r="X107" s="217"/>
      <c r="Y107" s="217"/>
      <c r="Z107" s="217"/>
      <c r="AA107" s="217"/>
      <c r="AB107" s="217"/>
      <c r="AC107" s="217"/>
      <c r="AD107" s="217"/>
      <c r="AE107" s="355"/>
      <c r="AF107" s="217"/>
      <c r="AG107" s="217"/>
      <c r="AH107" s="217"/>
      <c r="AI107" s="217"/>
      <c r="AJ107" s="217"/>
      <c r="AK107" s="217"/>
      <c r="AL107" s="217"/>
      <c r="AM107" s="217"/>
      <c r="AN107" s="217"/>
      <c r="AO107" s="217"/>
      <c r="AP107" s="217"/>
      <c r="AQ107" s="217"/>
      <c r="AR107" s="217"/>
      <c r="AS107" s="217"/>
      <c r="AT107" s="355"/>
      <c r="AU107" s="217"/>
      <c r="AV107" s="217"/>
      <c r="AW107" s="217"/>
      <c r="AX107" s="217"/>
      <c r="AY107" s="217"/>
      <c r="AZ107" s="217"/>
      <c r="BA107" s="217"/>
      <c r="BB107" s="217"/>
      <c r="BC107" s="217"/>
      <c r="BD107" s="217"/>
      <c r="BE107" s="217"/>
      <c r="BF107" s="217"/>
      <c r="BG107" s="217"/>
      <c r="BH107" s="217"/>
    </row>
    <row r="108" spans="1:60">
      <c r="A108" s="254">
        <v>98</v>
      </c>
      <c r="B108" s="242"/>
      <c r="C108" s="243"/>
      <c r="D108" s="243"/>
      <c r="E108" s="357"/>
      <c r="F108" s="217"/>
      <c r="G108" s="217"/>
      <c r="H108" s="217"/>
      <c r="I108" s="217"/>
      <c r="J108" s="217"/>
      <c r="K108" s="217"/>
      <c r="L108" s="217"/>
      <c r="M108" s="217"/>
      <c r="N108" s="217"/>
      <c r="O108" s="217"/>
      <c r="P108" s="355"/>
      <c r="Q108" s="217"/>
      <c r="R108" s="217"/>
      <c r="S108" s="217"/>
      <c r="T108" s="217"/>
      <c r="U108" s="217"/>
      <c r="V108" s="217"/>
      <c r="W108" s="217"/>
      <c r="X108" s="217"/>
      <c r="Y108" s="217"/>
      <c r="Z108" s="217"/>
      <c r="AA108" s="217"/>
      <c r="AB108" s="217"/>
      <c r="AC108" s="217"/>
      <c r="AD108" s="217"/>
      <c r="AE108" s="355"/>
      <c r="AF108" s="217"/>
      <c r="AG108" s="217"/>
      <c r="AH108" s="217"/>
      <c r="AI108" s="217"/>
      <c r="AJ108" s="217"/>
      <c r="AK108" s="217"/>
      <c r="AL108" s="217"/>
      <c r="AM108" s="217"/>
      <c r="AN108" s="217"/>
      <c r="AO108" s="217"/>
      <c r="AP108" s="217"/>
      <c r="AQ108" s="217"/>
      <c r="AR108" s="217"/>
      <c r="AS108" s="217"/>
      <c r="AT108" s="355"/>
      <c r="AU108" s="217"/>
      <c r="AV108" s="217"/>
      <c r="AW108" s="217"/>
      <c r="AX108" s="217"/>
      <c r="AY108" s="217"/>
      <c r="AZ108" s="217"/>
      <c r="BA108" s="217"/>
      <c r="BB108" s="217"/>
      <c r="BC108" s="217"/>
      <c r="BD108" s="217"/>
      <c r="BE108" s="217"/>
      <c r="BF108" s="217"/>
      <c r="BG108" s="217"/>
      <c r="BH108" s="217"/>
    </row>
    <row r="109" spans="1:60">
      <c r="A109" s="254">
        <v>99</v>
      </c>
      <c r="B109" s="242"/>
      <c r="C109" s="243"/>
      <c r="D109" s="243"/>
      <c r="E109" s="357"/>
      <c r="F109" s="217"/>
      <c r="G109" s="217"/>
      <c r="H109" s="217"/>
      <c r="I109" s="217"/>
      <c r="J109" s="217"/>
      <c r="K109" s="217"/>
      <c r="L109" s="217"/>
      <c r="M109" s="217"/>
      <c r="N109" s="217"/>
      <c r="O109" s="217"/>
      <c r="P109" s="355"/>
      <c r="Q109" s="217"/>
      <c r="R109" s="217"/>
      <c r="S109" s="217"/>
      <c r="T109" s="217"/>
      <c r="U109" s="217"/>
      <c r="V109" s="217"/>
      <c r="W109" s="217"/>
      <c r="X109" s="217"/>
      <c r="Y109" s="217"/>
      <c r="Z109" s="217"/>
      <c r="AA109" s="217"/>
      <c r="AB109" s="217"/>
      <c r="AC109" s="217"/>
      <c r="AD109" s="217"/>
      <c r="AE109" s="355"/>
      <c r="AF109" s="217"/>
      <c r="AG109" s="217"/>
      <c r="AH109" s="217"/>
      <c r="AI109" s="217"/>
      <c r="AJ109" s="217"/>
      <c r="AK109" s="217"/>
      <c r="AL109" s="217"/>
      <c r="AM109" s="217"/>
      <c r="AN109" s="217"/>
      <c r="AO109" s="217"/>
      <c r="AP109" s="217"/>
      <c r="AQ109" s="217"/>
      <c r="AR109" s="217"/>
      <c r="AS109" s="217"/>
      <c r="AT109" s="355"/>
      <c r="AU109" s="217"/>
      <c r="AV109" s="217"/>
      <c r="AW109" s="217"/>
      <c r="AX109" s="217"/>
      <c r="AY109" s="217"/>
      <c r="AZ109" s="217"/>
      <c r="BA109" s="217"/>
      <c r="BB109" s="217"/>
      <c r="BC109" s="217"/>
      <c r="BD109" s="217"/>
      <c r="BE109" s="217"/>
      <c r="BF109" s="217"/>
      <c r="BG109" s="217"/>
      <c r="BH109" s="217"/>
    </row>
    <row r="110" spans="1:60">
      <c r="A110" s="358">
        <v>100</v>
      </c>
      <c r="B110" s="359"/>
      <c r="C110" s="360"/>
      <c r="D110" s="360"/>
      <c r="E110" s="361"/>
      <c r="F110" s="217"/>
      <c r="G110" s="217"/>
      <c r="H110" s="217"/>
      <c r="I110" s="217"/>
      <c r="J110" s="217"/>
      <c r="K110" s="217"/>
      <c r="L110" s="217"/>
      <c r="M110" s="217"/>
      <c r="N110" s="217"/>
      <c r="O110" s="217"/>
      <c r="P110" s="355"/>
      <c r="Q110" s="217"/>
      <c r="R110" s="217"/>
      <c r="S110" s="217"/>
      <c r="T110" s="217"/>
      <c r="U110" s="217"/>
      <c r="V110" s="217"/>
      <c r="W110" s="217"/>
      <c r="X110" s="217"/>
      <c r="Y110" s="217"/>
      <c r="Z110" s="217"/>
      <c r="AA110" s="217"/>
      <c r="AB110" s="217"/>
      <c r="AC110" s="217"/>
      <c r="AD110" s="217"/>
      <c r="AE110" s="355"/>
      <c r="AF110" s="217"/>
      <c r="AG110" s="217"/>
      <c r="AH110" s="217"/>
      <c r="AI110" s="217"/>
      <c r="AJ110" s="217"/>
      <c r="AK110" s="217"/>
      <c r="AL110" s="217"/>
      <c r="AM110" s="217"/>
      <c r="AN110" s="217"/>
      <c r="AO110" s="217"/>
      <c r="AP110" s="217"/>
      <c r="AQ110" s="217"/>
      <c r="AR110" s="217"/>
      <c r="AS110" s="217"/>
      <c r="AT110" s="355"/>
      <c r="AU110" s="217"/>
      <c r="AV110" s="217"/>
      <c r="AW110" s="217"/>
      <c r="AX110" s="217"/>
      <c r="AY110" s="217"/>
      <c r="AZ110" s="217"/>
      <c r="BA110" s="217"/>
      <c r="BB110" s="217"/>
      <c r="BC110" s="217"/>
      <c r="BD110" s="217"/>
      <c r="BE110" s="217"/>
      <c r="BF110" s="217"/>
      <c r="BG110" s="217"/>
      <c r="BH110" s="217"/>
    </row>
    <row r="111" spans="1:60">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row>
  </sheetData>
  <mergeCells count="7">
    <mergeCell ref="AF9:AR9"/>
    <mergeCell ref="AU9:BG9"/>
    <mergeCell ref="B3:D3"/>
    <mergeCell ref="B4:D4"/>
    <mergeCell ref="B5:D5"/>
    <mergeCell ref="G6:I6"/>
    <mergeCell ref="Q9:AC9"/>
  </mergeCells>
  <phoneticPr fontId="3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H111"/>
  <sheetViews>
    <sheetView workbookViewId="0">
      <selection activeCell="A9" sqref="A9:E10"/>
    </sheetView>
  </sheetViews>
  <sheetFormatPr defaultRowHeight="12.5"/>
  <cols>
    <col min="1" max="1" width="12.453125" customWidth="1"/>
    <col min="2" max="2" width="8.81640625" bestFit="1" customWidth="1"/>
    <col min="3" max="5" width="9.453125" bestFit="1" customWidth="1"/>
    <col min="6"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60" ht="18">
      <c r="A1" s="34" t="s">
        <v>149</v>
      </c>
      <c r="B1" s="6"/>
      <c r="C1" s="4"/>
      <c r="D1" s="6"/>
      <c r="E1" s="6"/>
      <c r="F1" s="6"/>
      <c r="G1" s="6"/>
      <c r="H1" s="6"/>
      <c r="I1" s="6"/>
      <c r="J1" s="222"/>
      <c r="K1" s="222"/>
    </row>
    <row r="2" spans="1:60" ht="16" thickBot="1">
      <c r="A2" s="350" t="s">
        <v>151</v>
      </c>
      <c r="B2" s="6"/>
      <c r="C2" s="11"/>
      <c r="D2" s="6"/>
      <c r="E2" s="6"/>
      <c r="F2" s="6"/>
      <c r="G2" s="6"/>
      <c r="H2" s="6"/>
      <c r="I2" s="6"/>
      <c r="J2" s="222"/>
      <c r="K2" s="222"/>
    </row>
    <row r="3" spans="1:60" ht="16" thickBot="1">
      <c r="A3" s="346" t="s">
        <v>135</v>
      </c>
      <c r="B3" s="389" t="str">
        <f>'START HERE'!F6</f>
        <v>Korea</v>
      </c>
      <c r="C3" s="401"/>
      <c r="D3" s="390"/>
      <c r="E3" s="222"/>
      <c r="F3" s="31" t="s">
        <v>45</v>
      </c>
      <c r="G3" s="196" t="s">
        <v>96</v>
      </c>
      <c r="H3" s="199"/>
      <c r="I3" s="197"/>
      <c r="J3" s="222"/>
      <c r="K3" s="222"/>
    </row>
    <row r="4" spans="1:60" ht="15.5">
      <c r="A4" s="12" t="s">
        <v>22</v>
      </c>
      <c r="B4" s="389" t="str">
        <f>'START HERE'!F5</f>
        <v>Jack mackerel</v>
      </c>
      <c r="C4" s="401"/>
      <c r="D4" s="390"/>
      <c r="E4" s="222"/>
      <c r="F4" s="13"/>
      <c r="G4" s="345"/>
      <c r="H4" s="200"/>
      <c r="I4" s="84"/>
      <c r="J4" s="222"/>
      <c r="K4" s="222"/>
    </row>
    <row r="5" spans="1:60" ht="18">
      <c r="A5" s="12" t="s">
        <v>15</v>
      </c>
      <c r="B5" s="395">
        <f>'START HERE'!K3</f>
        <v>2018</v>
      </c>
      <c r="C5" s="402"/>
      <c r="D5" s="396"/>
      <c r="E5" s="222"/>
      <c r="F5" s="35" t="s">
        <v>46</v>
      </c>
      <c r="G5" s="85" t="s">
        <v>150</v>
      </c>
      <c r="H5" s="198"/>
      <c r="I5" s="86"/>
      <c r="J5" s="222"/>
      <c r="K5" s="222"/>
    </row>
    <row r="6" spans="1:60" ht="16" thickBot="1">
      <c r="A6" s="12"/>
      <c r="B6" s="81"/>
      <c r="C6" s="82"/>
      <c r="D6" s="6"/>
      <c r="F6" s="35" t="s">
        <v>16</v>
      </c>
      <c r="G6" s="384">
        <f>'START HERE'!$F8</f>
        <v>42252</v>
      </c>
      <c r="H6" s="385"/>
      <c r="I6" s="391"/>
      <c r="J6" s="222"/>
      <c r="K6" s="222"/>
    </row>
    <row r="7" spans="1:60">
      <c r="A7" s="6"/>
      <c r="B7" s="6"/>
      <c r="C7" s="6"/>
      <c r="D7" s="6"/>
      <c r="E7" s="6"/>
      <c r="F7" s="6"/>
      <c r="G7" s="6"/>
      <c r="H7" s="6"/>
      <c r="I7" s="6"/>
      <c r="J7" s="222"/>
      <c r="K7" s="222"/>
    </row>
    <row r="8" spans="1:60">
      <c r="A8" s="6"/>
      <c r="B8" s="6"/>
      <c r="C8" s="6"/>
      <c r="D8" s="6"/>
      <c r="E8" s="6"/>
      <c r="F8" s="6"/>
      <c r="G8" s="6"/>
      <c r="H8" s="6"/>
      <c r="I8" s="6"/>
      <c r="J8" s="222"/>
      <c r="K8" s="222"/>
    </row>
    <row r="9" spans="1:60" ht="13">
      <c r="A9" s="27" t="s">
        <v>92</v>
      </c>
      <c r="B9" s="27" t="s">
        <v>60</v>
      </c>
      <c r="C9" s="27" t="s">
        <v>37</v>
      </c>
      <c r="D9" s="27" t="s">
        <v>38</v>
      </c>
      <c r="E9" s="27" t="s">
        <v>39</v>
      </c>
      <c r="F9" s="352"/>
      <c r="G9" s="352"/>
      <c r="H9" s="352"/>
      <c r="I9" s="352"/>
      <c r="J9" s="352"/>
      <c r="K9" s="352"/>
      <c r="L9" s="352"/>
      <c r="M9" s="352"/>
      <c r="N9" s="352"/>
      <c r="O9" s="217"/>
      <c r="P9" s="353"/>
      <c r="Q9" s="400"/>
      <c r="R9" s="400"/>
      <c r="S9" s="400"/>
      <c r="T9" s="400"/>
      <c r="U9" s="400"/>
      <c r="V9" s="400"/>
      <c r="W9" s="400"/>
      <c r="X9" s="400"/>
      <c r="Y9" s="400"/>
      <c r="Z9" s="400"/>
      <c r="AA9" s="400"/>
      <c r="AB9" s="400"/>
      <c r="AC9" s="400"/>
      <c r="AD9" s="217"/>
      <c r="AE9" s="353"/>
      <c r="AF9" s="400"/>
      <c r="AG9" s="400"/>
      <c r="AH9" s="400"/>
      <c r="AI9" s="400"/>
      <c r="AJ9" s="400"/>
      <c r="AK9" s="400"/>
      <c r="AL9" s="400"/>
      <c r="AM9" s="400"/>
      <c r="AN9" s="400"/>
      <c r="AO9" s="400"/>
      <c r="AP9" s="400"/>
      <c r="AQ9" s="400"/>
      <c r="AR9" s="400"/>
      <c r="AS9" s="217"/>
      <c r="AT9" s="353"/>
      <c r="AU9" s="400"/>
      <c r="AV9" s="400"/>
      <c r="AW9" s="400"/>
      <c r="AX9" s="400"/>
      <c r="AY9" s="400"/>
      <c r="AZ9" s="400"/>
      <c r="BA9" s="400"/>
      <c r="BB9" s="400"/>
      <c r="BC9" s="400"/>
      <c r="BD9" s="400"/>
      <c r="BE9" s="400"/>
      <c r="BF9" s="400"/>
      <c r="BG9" s="400"/>
      <c r="BH9" s="217"/>
    </row>
    <row r="10" spans="1:60" ht="18">
      <c r="A10" s="28" t="s">
        <v>49</v>
      </c>
      <c r="B10" s="228">
        <f>'START HERE'!$K$3</f>
        <v>2018</v>
      </c>
      <c r="C10" s="228">
        <f>'START HERE'!$K$3</f>
        <v>2018</v>
      </c>
      <c r="D10" s="228">
        <f>'START HERE'!$K$3</f>
        <v>2018</v>
      </c>
      <c r="E10" s="227">
        <f>'START HERE'!$K$3</f>
        <v>2018</v>
      </c>
      <c r="F10" s="354"/>
      <c r="G10" s="354"/>
      <c r="H10" s="354"/>
      <c r="I10" s="354"/>
      <c r="J10" s="354"/>
      <c r="K10" s="354"/>
      <c r="L10" s="354"/>
      <c r="M10" s="354"/>
      <c r="N10" s="354"/>
      <c r="O10" s="217"/>
      <c r="P10" s="353"/>
      <c r="Q10" s="354"/>
      <c r="R10" s="354"/>
      <c r="S10" s="354"/>
      <c r="T10" s="354"/>
      <c r="U10" s="354"/>
      <c r="V10" s="354"/>
      <c r="W10" s="354"/>
      <c r="X10" s="354"/>
      <c r="Y10" s="354"/>
      <c r="Z10" s="354"/>
      <c r="AA10" s="354"/>
      <c r="AB10" s="354"/>
      <c r="AC10" s="354"/>
      <c r="AD10" s="217"/>
      <c r="AE10" s="353"/>
      <c r="AF10" s="354"/>
      <c r="AG10" s="354"/>
      <c r="AH10" s="354"/>
      <c r="AI10" s="354"/>
      <c r="AJ10" s="354"/>
      <c r="AK10" s="354"/>
      <c r="AL10" s="354"/>
      <c r="AM10" s="354"/>
      <c r="AN10" s="354"/>
      <c r="AO10" s="354"/>
      <c r="AP10" s="354"/>
      <c r="AQ10" s="354"/>
      <c r="AR10" s="354"/>
      <c r="AS10" s="217"/>
      <c r="AT10" s="353"/>
      <c r="AU10" s="354"/>
      <c r="AV10" s="354"/>
      <c r="AW10" s="354"/>
      <c r="AX10" s="354"/>
      <c r="AY10" s="354"/>
      <c r="AZ10" s="354"/>
      <c r="BA10" s="354"/>
      <c r="BB10" s="354"/>
      <c r="BC10" s="354"/>
      <c r="BD10" s="354"/>
      <c r="BE10" s="354"/>
      <c r="BF10" s="354"/>
      <c r="BG10" s="354"/>
      <c r="BH10" s="217"/>
    </row>
    <row r="11" spans="1:60">
      <c r="A11" s="254">
        <v>1</v>
      </c>
      <c r="B11" s="244"/>
      <c r="C11" s="245"/>
      <c r="D11" s="245"/>
      <c r="E11" s="356"/>
      <c r="F11" s="217"/>
      <c r="G11" s="217"/>
      <c r="H11" s="217"/>
      <c r="I11" s="217"/>
      <c r="J11" s="217"/>
      <c r="K11" s="217"/>
      <c r="L11" s="217"/>
      <c r="M11" s="217"/>
      <c r="N11" s="217"/>
      <c r="O11" s="217"/>
      <c r="P11" s="355"/>
      <c r="Q11" s="217"/>
      <c r="R11" s="217"/>
      <c r="S11" s="217"/>
      <c r="T11" s="217"/>
      <c r="U11" s="217"/>
      <c r="V11" s="217"/>
      <c r="W11" s="217"/>
      <c r="X11" s="217"/>
      <c r="Y11" s="217"/>
      <c r="Z11" s="217"/>
      <c r="AA11" s="217"/>
      <c r="AB11" s="217"/>
      <c r="AC11" s="217"/>
      <c r="AD11" s="217"/>
      <c r="AE11" s="355"/>
      <c r="AF11" s="217"/>
      <c r="AG11" s="217"/>
      <c r="AH11" s="217"/>
      <c r="AI11" s="217"/>
      <c r="AJ11" s="217"/>
      <c r="AK11" s="217"/>
      <c r="AL11" s="217"/>
      <c r="AM11" s="217"/>
      <c r="AN11" s="217"/>
      <c r="AO11" s="217"/>
      <c r="AP11" s="217"/>
      <c r="AQ11" s="217"/>
      <c r="AR11" s="217"/>
      <c r="AS11" s="217"/>
      <c r="AT11" s="355"/>
      <c r="AU11" s="217"/>
      <c r="AV11" s="217"/>
      <c r="AW11" s="217"/>
      <c r="AX11" s="217"/>
      <c r="AY11" s="217"/>
      <c r="AZ11" s="217"/>
      <c r="BA11" s="217"/>
      <c r="BB11" s="217"/>
      <c r="BC11" s="217"/>
      <c r="BD11" s="217"/>
      <c r="BE11" s="217"/>
      <c r="BF11" s="217"/>
      <c r="BG11" s="217"/>
      <c r="BH11" s="217"/>
    </row>
    <row r="12" spans="1:60">
      <c r="A12" s="254">
        <v>2</v>
      </c>
      <c r="B12" s="242"/>
      <c r="C12" s="243"/>
      <c r="D12" s="243"/>
      <c r="E12" s="357"/>
      <c r="F12" s="217"/>
      <c r="G12" s="217"/>
      <c r="H12" s="217"/>
      <c r="I12" s="217"/>
      <c r="J12" s="217"/>
      <c r="K12" s="217"/>
      <c r="L12" s="217"/>
      <c r="M12" s="217"/>
      <c r="N12" s="217"/>
      <c r="O12" s="217"/>
      <c r="P12" s="355"/>
      <c r="Q12" s="217"/>
      <c r="R12" s="217"/>
      <c r="S12" s="217"/>
      <c r="T12" s="217"/>
      <c r="U12" s="217"/>
      <c r="V12" s="217"/>
      <c r="W12" s="217"/>
      <c r="X12" s="217"/>
      <c r="Y12" s="217"/>
      <c r="Z12" s="217"/>
      <c r="AA12" s="217"/>
      <c r="AB12" s="217"/>
      <c r="AC12" s="217"/>
      <c r="AD12" s="217"/>
      <c r="AE12" s="355"/>
      <c r="AF12" s="217"/>
      <c r="AG12" s="217"/>
      <c r="AH12" s="217"/>
      <c r="AI12" s="217"/>
      <c r="AJ12" s="217"/>
      <c r="AK12" s="217"/>
      <c r="AL12" s="217"/>
      <c r="AM12" s="217"/>
      <c r="AN12" s="217"/>
      <c r="AO12" s="217"/>
      <c r="AP12" s="217"/>
      <c r="AQ12" s="217"/>
      <c r="AR12" s="217"/>
      <c r="AS12" s="217"/>
      <c r="AT12" s="355"/>
      <c r="AU12" s="217"/>
      <c r="AV12" s="217"/>
      <c r="AW12" s="217"/>
      <c r="AX12" s="217"/>
      <c r="AY12" s="217"/>
      <c r="AZ12" s="217"/>
      <c r="BA12" s="217"/>
      <c r="BB12" s="217"/>
      <c r="BC12" s="217"/>
      <c r="BD12" s="217"/>
      <c r="BE12" s="217"/>
      <c r="BF12" s="217"/>
      <c r="BG12" s="217"/>
      <c r="BH12" s="217"/>
    </row>
    <row r="13" spans="1:60">
      <c r="A13" s="254">
        <v>3</v>
      </c>
      <c r="B13" s="242"/>
      <c r="C13" s="243"/>
      <c r="D13" s="243"/>
      <c r="E13" s="357"/>
      <c r="F13" s="217"/>
      <c r="G13" s="217"/>
      <c r="H13" s="217"/>
      <c r="I13" s="217"/>
      <c r="J13" s="217"/>
      <c r="K13" s="217"/>
      <c r="L13" s="217"/>
      <c r="M13" s="217"/>
      <c r="N13" s="217"/>
      <c r="O13" s="217"/>
      <c r="P13" s="355"/>
      <c r="Q13" s="217"/>
      <c r="R13" s="217"/>
      <c r="S13" s="217"/>
      <c r="T13" s="217"/>
      <c r="U13" s="217"/>
      <c r="V13" s="217"/>
      <c r="W13" s="217"/>
      <c r="X13" s="217"/>
      <c r="Y13" s="217"/>
      <c r="Z13" s="217"/>
      <c r="AA13" s="217"/>
      <c r="AB13" s="217"/>
      <c r="AC13" s="217"/>
      <c r="AD13" s="217"/>
      <c r="AE13" s="355"/>
      <c r="AF13" s="217"/>
      <c r="AG13" s="217"/>
      <c r="AH13" s="217"/>
      <c r="AI13" s="217"/>
      <c r="AJ13" s="217"/>
      <c r="AK13" s="217"/>
      <c r="AL13" s="217"/>
      <c r="AM13" s="217"/>
      <c r="AN13" s="217"/>
      <c r="AO13" s="217"/>
      <c r="AP13" s="217"/>
      <c r="AQ13" s="217"/>
      <c r="AR13" s="217"/>
      <c r="AS13" s="217"/>
      <c r="AT13" s="355"/>
      <c r="AU13" s="217"/>
      <c r="AV13" s="217"/>
      <c r="AW13" s="217"/>
      <c r="AX13" s="217"/>
      <c r="AY13" s="217"/>
      <c r="AZ13" s="217"/>
      <c r="BA13" s="217"/>
      <c r="BB13" s="217"/>
      <c r="BC13" s="217"/>
      <c r="BD13" s="217"/>
      <c r="BE13" s="217"/>
      <c r="BF13" s="217"/>
      <c r="BG13" s="217"/>
      <c r="BH13" s="217"/>
    </row>
    <row r="14" spans="1:60">
      <c r="A14" s="254">
        <v>4</v>
      </c>
      <c r="B14" s="242"/>
      <c r="C14" s="243"/>
      <c r="D14" s="243"/>
      <c r="E14" s="357"/>
      <c r="F14" s="217"/>
      <c r="G14" s="217"/>
      <c r="H14" s="217"/>
      <c r="I14" s="217"/>
      <c r="J14" s="217"/>
      <c r="K14" s="217"/>
      <c r="L14" s="217"/>
      <c r="M14" s="217"/>
      <c r="N14" s="217"/>
      <c r="O14" s="217"/>
      <c r="P14" s="355"/>
      <c r="Q14" s="217"/>
      <c r="R14" s="217"/>
      <c r="S14" s="217"/>
      <c r="T14" s="217"/>
      <c r="U14" s="217"/>
      <c r="V14" s="217"/>
      <c r="W14" s="217"/>
      <c r="X14" s="217"/>
      <c r="Y14" s="217"/>
      <c r="Z14" s="217"/>
      <c r="AA14" s="217"/>
      <c r="AB14" s="217"/>
      <c r="AC14" s="217"/>
      <c r="AD14" s="217"/>
      <c r="AE14" s="355"/>
      <c r="AF14" s="217"/>
      <c r="AG14" s="217"/>
      <c r="AH14" s="217"/>
      <c r="AI14" s="217"/>
      <c r="AJ14" s="217"/>
      <c r="AK14" s="217"/>
      <c r="AL14" s="217"/>
      <c r="AM14" s="217"/>
      <c r="AN14" s="217"/>
      <c r="AO14" s="217"/>
      <c r="AP14" s="217"/>
      <c r="AQ14" s="217"/>
      <c r="AR14" s="217"/>
      <c r="AS14" s="217"/>
      <c r="AT14" s="355"/>
      <c r="AU14" s="217"/>
      <c r="AV14" s="217"/>
      <c r="AW14" s="217"/>
      <c r="AX14" s="217"/>
      <c r="AY14" s="217"/>
      <c r="AZ14" s="217"/>
      <c r="BA14" s="217"/>
      <c r="BB14" s="217"/>
      <c r="BC14" s="217"/>
      <c r="BD14" s="217"/>
      <c r="BE14" s="217"/>
      <c r="BF14" s="217"/>
      <c r="BG14" s="217"/>
      <c r="BH14" s="217"/>
    </row>
    <row r="15" spans="1:60">
      <c r="A15" s="254">
        <v>5</v>
      </c>
      <c r="B15" s="242"/>
      <c r="C15" s="243"/>
      <c r="D15" s="243"/>
      <c r="E15" s="357"/>
      <c r="F15" s="217"/>
      <c r="G15" s="217"/>
      <c r="H15" s="217"/>
      <c r="I15" s="217"/>
      <c r="J15" s="217"/>
      <c r="K15" s="217"/>
      <c r="L15" s="217"/>
      <c r="M15" s="217"/>
      <c r="N15" s="217"/>
      <c r="O15" s="217"/>
      <c r="P15" s="355"/>
      <c r="Q15" s="217"/>
      <c r="R15" s="217"/>
      <c r="S15" s="217"/>
      <c r="T15" s="217"/>
      <c r="U15" s="217"/>
      <c r="V15" s="217"/>
      <c r="W15" s="217"/>
      <c r="X15" s="217"/>
      <c r="Y15" s="217"/>
      <c r="Z15" s="217"/>
      <c r="AA15" s="217"/>
      <c r="AB15" s="217"/>
      <c r="AC15" s="217"/>
      <c r="AD15" s="217"/>
      <c r="AE15" s="355"/>
      <c r="AF15" s="217"/>
      <c r="AG15" s="217"/>
      <c r="AH15" s="217"/>
      <c r="AI15" s="217"/>
      <c r="AJ15" s="217"/>
      <c r="AK15" s="217"/>
      <c r="AL15" s="217"/>
      <c r="AM15" s="217"/>
      <c r="AN15" s="217"/>
      <c r="AO15" s="217"/>
      <c r="AP15" s="217"/>
      <c r="AQ15" s="217"/>
      <c r="AR15" s="217"/>
      <c r="AS15" s="217"/>
      <c r="AT15" s="355"/>
      <c r="AU15" s="217"/>
      <c r="AV15" s="217"/>
      <c r="AW15" s="217"/>
      <c r="AX15" s="217"/>
      <c r="AY15" s="217"/>
      <c r="AZ15" s="217"/>
      <c r="BA15" s="217"/>
      <c r="BB15" s="217"/>
      <c r="BC15" s="217"/>
      <c r="BD15" s="217"/>
      <c r="BE15" s="217"/>
      <c r="BF15" s="217"/>
      <c r="BG15" s="217"/>
      <c r="BH15" s="217"/>
    </row>
    <row r="16" spans="1:60">
      <c r="A16" s="254">
        <v>6</v>
      </c>
      <c r="B16" s="242"/>
      <c r="C16" s="243"/>
      <c r="D16" s="243"/>
      <c r="E16" s="357"/>
      <c r="F16" s="217"/>
      <c r="G16" s="217"/>
      <c r="H16" s="217"/>
      <c r="I16" s="217"/>
      <c r="J16" s="217"/>
      <c r="K16" s="217"/>
      <c r="L16" s="217"/>
      <c r="M16" s="217"/>
      <c r="N16" s="217"/>
      <c r="O16" s="217"/>
      <c r="P16" s="355"/>
      <c r="Q16" s="217"/>
      <c r="R16" s="217"/>
      <c r="S16" s="217"/>
      <c r="T16" s="217"/>
      <c r="U16" s="217"/>
      <c r="V16" s="217"/>
      <c r="W16" s="217"/>
      <c r="X16" s="217"/>
      <c r="Y16" s="217"/>
      <c r="Z16" s="217"/>
      <c r="AA16" s="217"/>
      <c r="AB16" s="217"/>
      <c r="AC16" s="217"/>
      <c r="AD16" s="217"/>
      <c r="AE16" s="355"/>
      <c r="AF16" s="217"/>
      <c r="AG16" s="217"/>
      <c r="AH16" s="217"/>
      <c r="AI16" s="217"/>
      <c r="AJ16" s="217"/>
      <c r="AK16" s="217"/>
      <c r="AL16" s="217"/>
      <c r="AM16" s="217"/>
      <c r="AN16" s="217"/>
      <c r="AO16" s="217"/>
      <c r="AP16" s="217"/>
      <c r="AQ16" s="217"/>
      <c r="AR16" s="217"/>
      <c r="AS16" s="217"/>
      <c r="AT16" s="355"/>
      <c r="AU16" s="217"/>
      <c r="AV16" s="217"/>
      <c r="AW16" s="217"/>
      <c r="AX16" s="217"/>
      <c r="AY16" s="217"/>
      <c r="AZ16" s="217"/>
      <c r="BA16" s="217"/>
      <c r="BB16" s="217"/>
      <c r="BC16" s="217"/>
      <c r="BD16" s="217"/>
      <c r="BE16" s="217"/>
      <c r="BF16" s="217"/>
      <c r="BG16" s="217"/>
      <c r="BH16" s="217"/>
    </row>
    <row r="17" spans="1:60">
      <c r="A17" s="254">
        <v>7</v>
      </c>
      <c r="B17" s="242"/>
      <c r="C17" s="243"/>
      <c r="D17" s="243"/>
      <c r="E17" s="357"/>
      <c r="F17" s="217"/>
      <c r="G17" s="217"/>
      <c r="H17" s="217"/>
      <c r="I17" s="217"/>
      <c r="J17" s="217"/>
      <c r="K17" s="217"/>
      <c r="L17" s="217"/>
      <c r="M17" s="217"/>
      <c r="N17" s="217"/>
      <c r="O17" s="217"/>
      <c r="P17" s="355"/>
      <c r="Q17" s="217"/>
      <c r="R17" s="217"/>
      <c r="S17" s="217"/>
      <c r="T17" s="217"/>
      <c r="U17" s="217"/>
      <c r="V17" s="217"/>
      <c r="W17" s="217"/>
      <c r="X17" s="217"/>
      <c r="Y17" s="217"/>
      <c r="Z17" s="217"/>
      <c r="AA17" s="217"/>
      <c r="AB17" s="217"/>
      <c r="AC17" s="217"/>
      <c r="AD17" s="217"/>
      <c r="AE17" s="355"/>
      <c r="AF17" s="217"/>
      <c r="AG17" s="217"/>
      <c r="AH17" s="217"/>
      <c r="AI17" s="217"/>
      <c r="AJ17" s="217"/>
      <c r="AK17" s="217"/>
      <c r="AL17" s="217"/>
      <c r="AM17" s="217"/>
      <c r="AN17" s="217"/>
      <c r="AO17" s="217"/>
      <c r="AP17" s="217"/>
      <c r="AQ17" s="217"/>
      <c r="AR17" s="217"/>
      <c r="AS17" s="217"/>
      <c r="AT17" s="355"/>
      <c r="AU17" s="217"/>
      <c r="AV17" s="217"/>
      <c r="AW17" s="217"/>
      <c r="AX17" s="217"/>
      <c r="AY17" s="217"/>
      <c r="AZ17" s="217"/>
      <c r="BA17" s="217"/>
      <c r="BB17" s="217"/>
      <c r="BC17" s="217"/>
      <c r="BD17" s="217"/>
      <c r="BE17" s="217"/>
      <c r="BF17" s="217"/>
      <c r="BG17" s="217"/>
      <c r="BH17" s="217"/>
    </row>
    <row r="18" spans="1:60">
      <c r="A18" s="254">
        <v>8</v>
      </c>
      <c r="B18" s="242"/>
      <c r="C18" s="243"/>
      <c r="D18" s="243"/>
      <c r="E18" s="357"/>
      <c r="F18" s="217"/>
      <c r="G18" s="217"/>
      <c r="H18" s="217"/>
      <c r="I18" s="217"/>
      <c r="J18" s="217"/>
      <c r="K18" s="217"/>
      <c r="L18" s="217"/>
      <c r="M18" s="217"/>
      <c r="N18" s="217"/>
      <c r="O18" s="217"/>
      <c r="P18" s="355"/>
      <c r="Q18" s="217"/>
      <c r="R18" s="217"/>
      <c r="S18" s="217"/>
      <c r="T18" s="217"/>
      <c r="U18" s="217"/>
      <c r="V18" s="217"/>
      <c r="W18" s="217"/>
      <c r="X18" s="217"/>
      <c r="Y18" s="217"/>
      <c r="Z18" s="217"/>
      <c r="AA18" s="217"/>
      <c r="AB18" s="217"/>
      <c r="AC18" s="217"/>
      <c r="AD18" s="217"/>
      <c r="AE18" s="355"/>
      <c r="AF18" s="217"/>
      <c r="AG18" s="217"/>
      <c r="AH18" s="217"/>
      <c r="AI18" s="217"/>
      <c r="AJ18" s="217"/>
      <c r="AK18" s="217"/>
      <c r="AL18" s="217"/>
      <c r="AM18" s="217"/>
      <c r="AN18" s="217"/>
      <c r="AO18" s="217"/>
      <c r="AP18" s="217"/>
      <c r="AQ18" s="217"/>
      <c r="AR18" s="217"/>
      <c r="AS18" s="217"/>
      <c r="AT18" s="355"/>
      <c r="AU18" s="217"/>
      <c r="AV18" s="217"/>
      <c r="AW18" s="217"/>
      <c r="AX18" s="217"/>
      <c r="AY18" s="217"/>
      <c r="AZ18" s="217"/>
      <c r="BA18" s="217"/>
      <c r="BB18" s="217"/>
      <c r="BC18" s="217"/>
      <c r="BD18" s="217"/>
      <c r="BE18" s="217"/>
      <c r="BF18" s="217"/>
      <c r="BG18" s="217"/>
      <c r="BH18" s="217"/>
    </row>
    <row r="19" spans="1:60">
      <c r="A19" s="254">
        <v>9</v>
      </c>
      <c r="B19" s="242"/>
      <c r="C19" s="243"/>
      <c r="D19" s="243"/>
      <c r="E19" s="357"/>
      <c r="F19" s="217"/>
      <c r="G19" s="217"/>
      <c r="H19" s="217"/>
      <c r="I19" s="217"/>
      <c r="J19" s="217"/>
      <c r="K19" s="217"/>
      <c r="L19" s="217"/>
      <c r="M19" s="217"/>
      <c r="N19" s="217"/>
      <c r="O19" s="217"/>
      <c r="P19" s="355"/>
      <c r="Q19" s="217"/>
      <c r="R19" s="217"/>
      <c r="S19" s="217"/>
      <c r="T19" s="217"/>
      <c r="U19" s="217"/>
      <c r="V19" s="217"/>
      <c r="W19" s="217"/>
      <c r="X19" s="217"/>
      <c r="Y19" s="217"/>
      <c r="Z19" s="217"/>
      <c r="AA19" s="217"/>
      <c r="AB19" s="217"/>
      <c r="AC19" s="217"/>
      <c r="AD19" s="217"/>
      <c r="AE19" s="355"/>
      <c r="AF19" s="217"/>
      <c r="AG19" s="217"/>
      <c r="AH19" s="217"/>
      <c r="AI19" s="217"/>
      <c r="AJ19" s="217"/>
      <c r="AK19" s="217"/>
      <c r="AL19" s="217"/>
      <c r="AM19" s="217"/>
      <c r="AN19" s="217"/>
      <c r="AO19" s="217"/>
      <c r="AP19" s="217"/>
      <c r="AQ19" s="217"/>
      <c r="AR19" s="217"/>
      <c r="AS19" s="217"/>
      <c r="AT19" s="355"/>
      <c r="AU19" s="217"/>
      <c r="AV19" s="217"/>
      <c r="AW19" s="217"/>
      <c r="AX19" s="217"/>
      <c r="AY19" s="217"/>
      <c r="AZ19" s="217"/>
      <c r="BA19" s="217"/>
      <c r="BB19" s="217"/>
      <c r="BC19" s="217"/>
      <c r="BD19" s="217"/>
      <c r="BE19" s="217"/>
      <c r="BF19" s="217"/>
      <c r="BG19" s="217"/>
      <c r="BH19" s="217"/>
    </row>
    <row r="20" spans="1:60">
      <c r="A20" s="254">
        <v>10</v>
      </c>
      <c r="B20" s="242"/>
      <c r="C20" s="243"/>
      <c r="D20" s="243"/>
      <c r="E20" s="357"/>
      <c r="F20" s="217"/>
      <c r="G20" s="217"/>
      <c r="H20" s="217"/>
      <c r="I20" s="217"/>
      <c r="J20" s="217"/>
      <c r="K20" s="217"/>
      <c r="L20" s="217"/>
      <c r="M20" s="217"/>
      <c r="N20" s="217"/>
      <c r="O20" s="217"/>
      <c r="P20" s="355"/>
      <c r="Q20" s="217"/>
      <c r="R20" s="217"/>
      <c r="S20" s="217"/>
      <c r="T20" s="217"/>
      <c r="U20" s="217"/>
      <c r="V20" s="217"/>
      <c r="W20" s="217"/>
      <c r="X20" s="217"/>
      <c r="Y20" s="217"/>
      <c r="Z20" s="217"/>
      <c r="AA20" s="217"/>
      <c r="AB20" s="217"/>
      <c r="AC20" s="217"/>
      <c r="AD20" s="217"/>
      <c r="AE20" s="355"/>
      <c r="AF20" s="217"/>
      <c r="AG20" s="217"/>
      <c r="AH20" s="217"/>
      <c r="AI20" s="217"/>
      <c r="AJ20" s="217"/>
      <c r="AK20" s="217"/>
      <c r="AL20" s="217"/>
      <c r="AM20" s="217"/>
      <c r="AN20" s="217"/>
      <c r="AO20" s="217"/>
      <c r="AP20" s="217"/>
      <c r="AQ20" s="217"/>
      <c r="AR20" s="217"/>
      <c r="AS20" s="217"/>
      <c r="AT20" s="355"/>
      <c r="AU20" s="217"/>
      <c r="AV20" s="217"/>
      <c r="AW20" s="217"/>
      <c r="AX20" s="217"/>
      <c r="AY20" s="217"/>
      <c r="AZ20" s="217"/>
      <c r="BA20" s="217"/>
      <c r="BB20" s="217"/>
      <c r="BC20" s="217"/>
      <c r="BD20" s="217"/>
      <c r="BE20" s="217"/>
      <c r="BF20" s="217"/>
      <c r="BG20" s="217"/>
      <c r="BH20" s="217"/>
    </row>
    <row r="21" spans="1:60">
      <c r="A21" s="254">
        <v>11</v>
      </c>
      <c r="B21" s="242"/>
      <c r="C21" s="243"/>
      <c r="D21" s="243"/>
      <c r="E21" s="357"/>
      <c r="F21" s="217"/>
      <c r="G21" s="217"/>
      <c r="H21" s="217"/>
      <c r="I21" s="217"/>
      <c r="J21" s="217"/>
      <c r="K21" s="217"/>
      <c r="L21" s="217"/>
      <c r="M21" s="217"/>
      <c r="N21" s="217"/>
      <c r="O21" s="217"/>
      <c r="P21" s="355"/>
      <c r="Q21" s="217"/>
      <c r="R21" s="217"/>
      <c r="S21" s="217"/>
      <c r="T21" s="217"/>
      <c r="U21" s="217"/>
      <c r="V21" s="217"/>
      <c r="W21" s="217"/>
      <c r="X21" s="217"/>
      <c r="Y21" s="217"/>
      <c r="Z21" s="217"/>
      <c r="AA21" s="217"/>
      <c r="AB21" s="217"/>
      <c r="AC21" s="217"/>
      <c r="AD21" s="217"/>
      <c r="AE21" s="355"/>
      <c r="AF21" s="217"/>
      <c r="AG21" s="217"/>
      <c r="AH21" s="217"/>
      <c r="AI21" s="217"/>
      <c r="AJ21" s="217"/>
      <c r="AK21" s="217"/>
      <c r="AL21" s="217"/>
      <c r="AM21" s="217"/>
      <c r="AN21" s="217"/>
      <c r="AO21" s="217"/>
      <c r="AP21" s="217"/>
      <c r="AQ21" s="217"/>
      <c r="AR21" s="217"/>
      <c r="AS21" s="217"/>
      <c r="AT21" s="355"/>
      <c r="AU21" s="217"/>
      <c r="AV21" s="217"/>
      <c r="AW21" s="217"/>
      <c r="AX21" s="217"/>
      <c r="AY21" s="217"/>
      <c r="AZ21" s="217"/>
      <c r="BA21" s="217"/>
      <c r="BB21" s="217"/>
      <c r="BC21" s="217"/>
      <c r="BD21" s="217"/>
      <c r="BE21" s="217"/>
      <c r="BF21" s="217"/>
      <c r="BG21" s="217"/>
      <c r="BH21" s="217"/>
    </row>
    <row r="22" spans="1:60">
      <c r="A22" s="254">
        <v>12</v>
      </c>
      <c r="B22" s="242"/>
      <c r="C22" s="243"/>
      <c r="D22" s="243"/>
      <c r="E22" s="357"/>
      <c r="F22" s="217"/>
      <c r="G22" s="217"/>
      <c r="H22" s="217"/>
      <c r="I22" s="217"/>
      <c r="J22" s="217"/>
      <c r="K22" s="217"/>
      <c r="L22" s="217"/>
      <c r="M22" s="217"/>
      <c r="N22" s="217"/>
      <c r="O22" s="217"/>
      <c r="P22" s="355"/>
      <c r="Q22" s="217"/>
      <c r="R22" s="217"/>
      <c r="S22" s="217"/>
      <c r="T22" s="217"/>
      <c r="U22" s="217"/>
      <c r="V22" s="217"/>
      <c r="W22" s="217"/>
      <c r="X22" s="217"/>
      <c r="Y22" s="217"/>
      <c r="Z22" s="217"/>
      <c r="AA22" s="217"/>
      <c r="AB22" s="217"/>
      <c r="AC22" s="217"/>
      <c r="AD22" s="217"/>
      <c r="AE22" s="355"/>
      <c r="AF22" s="217"/>
      <c r="AG22" s="217"/>
      <c r="AH22" s="217"/>
      <c r="AI22" s="217"/>
      <c r="AJ22" s="217"/>
      <c r="AK22" s="217"/>
      <c r="AL22" s="217"/>
      <c r="AM22" s="217"/>
      <c r="AN22" s="217"/>
      <c r="AO22" s="217"/>
      <c r="AP22" s="217"/>
      <c r="AQ22" s="217"/>
      <c r="AR22" s="217"/>
      <c r="AS22" s="217"/>
      <c r="AT22" s="355"/>
      <c r="AU22" s="217"/>
      <c r="AV22" s="217"/>
      <c r="AW22" s="217"/>
      <c r="AX22" s="217"/>
      <c r="AY22" s="217"/>
      <c r="AZ22" s="217"/>
      <c r="BA22" s="217"/>
      <c r="BB22" s="217"/>
      <c r="BC22" s="217"/>
      <c r="BD22" s="217"/>
      <c r="BE22" s="217"/>
      <c r="BF22" s="217"/>
      <c r="BG22" s="217"/>
      <c r="BH22" s="217"/>
    </row>
    <row r="23" spans="1:60">
      <c r="A23" s="254">
        <v>13</v>
      </c>
      <c r="B23" s="242"/>
      <c r="C23" s="243"/>
      <c r="D23" s="243"/>
      <c r="E23" s="357"/>
      <c r="F23" s="217"/>
      <c r="G23" s="217"/>
      <c r="H23" s="217"/>
      <c r="I23" s="217"/>
      <c r="J23" s="217"/>
      <c r="K23" s="217"/>
      <c r="L23" s="217"/>
      <c r="M23" s="217"/>
      <c r="N23" s="217"/>
      <c r="O23" s="217"/>
      <c r="P23" s="355"/>
      <c r="Q23" s="217"/>
      <c r="R23" s="217"/>
      <c r="S23" s="217"/>
      <c r="T23" s="217"/>
      <c r="U23" s="217"/>
      <c r="V23" s="217"/>
      <c r="W23" s="217"/>
      <c r="X23" s="217"/>
      <c r="Y23" s="217"/>
      <c r="Z23" s="217"/>
      <c r="AA23" s="217"/>
      <c r="AB23" s="217"/>
      <c r="AC23" s="217"/>
      <c r="AD23" s="217"/>
      <c r="AE23" s="355"/>
      <c r="AF23" s="217"/>
      <c r="AG23" s="217"/>
      <c r="AH23" s="217"/>
      <c r="AI23" s="217"/>
      <c r="AJ23" s="217"/>
      <c r="AK23" s="217"/>
      <c r="AL23" s="217"/>
      <c r="AM23" s="217"/>
      <c r="AN23" s="217"/>
      <c r="AO23" s="217"/>
      <c r="AP23" s="217"/>
      <c r="AQ23" s="217"/>
      <c r="AR23" s="217"/>
      <c r="AS23" s="217"/>
      <c r="AT23" s="355"/>
      <c r="AU23" s="217"/>
      <c r="AV23" s="217"/>
      <c r="AW23" s="217"/>
      <c r="AX23" s="217"/>
      <c r="AY23" s="217"/>
      <c r="AZ23" s="217"/>
      <c r="BA23" s="217"/>
      <c r="BB23" s="217"/>
      <c r="BC23" s="217"/>
      <c r="BD23" s="217"/>
      <c r="BE23" s="217"/>
      <c r="BF23" s="217"/>
      <c r="BG23" s="217"/>
      <c r="BH23" s="217"/>
    </row>
    <row r="24" spans="1:60">
      <c r="A24" s="254">
        <v>14</v>
      </c>
      <c r="B24" s="242"/>
      <c r="C24" s="243"/>
      <c r="D24" s="243"/>
      <c r="E24" s="357"/>
      <c r="F24" s="217"/>
      <c r="G24" s="217"/>
      <c r="H24" s="217"/>
      <c r="I24" s="217"/>
      <c r="J24" s="217"/>
      <c r="K24" s="217"/>
      <c r="L24" s="217"/>
      <c r="M24" s="217"/>
      <c r="N24" s="217"/>
      <c r="O24" s="217"/>
      <c r="P24" s="355"/>
      <c r="Q24" s="217"/>
      <c r="R24" s="217"/>
      <c r="S24" s="217"/>
      <c r="T24" s="217"/>
      <c r="U24" s="217"/>
      <c r="V24" s="217"/>
      <c r="W24" s="217"/>
      <c r="X24" s="217"/>
      <c r="Y24" s="217"/>
      <c r="Z24" s="217"/>
      <c r="AA24" s="217"/>
      <c r="AB24" s="217"/>
      <c r="AC24" s="217"/>
      <c r="AD24" s="217"/>
      <c r="AE24" s="355"/>
      <c r="AF24" s="217"/>
      <c r="AG24" s="217"/>
      <c r="AH24" s="217"/>
      <c r="AI24" s="217"/>
      <c r="AJ24" s="217"/>
      <c r="AK24" s="217"/>
      <c r="AL24" s="217"/>
      <c r="AM24" s="217"/>
      <c r="AN24" s="217"/>
      <c r="AO24" s="217"/>
      <c r="AP24" s="217"/>
      <c r="AQ24" s="217"/>
      <c r="AR24" s="217"/>
      <c r="AS24" s="217"/>
      <c r="AT24" s="355"/>
      <c r="AU24" s="217"/>
      <c r="AV24" s="217"/>
      <c r="AW24" s="217"/>
      <c r="AX24" s="217"/>
      <c r="AY24" s="217"/>
      <c r="AZ24" s="217"/>
      <c r="BA24" s="217"/>
      <c r="BB24" s="217"/>
      <c r="BC24" s="217"/>
      <c r="BD24" s="217"/>
      <c r="BE24" s="217"/>
      <c r="BF24" s="217"/>
      <c r="BG24" s="217"/>
      <c r="BH24" s="217"/>
    </row>
    <row r="25" spans="1:60">
      <c r="A25" s="254">
        <v>15</v>
      </c>
      <c r="B25" s="242"/>
      <c r="C25" s="243"/>
      <c r="D25" s="243"/>
      <c r="E25" s="357"/>
      <c r="F25" s="217"/>
      <c r="G25" s="217"/>
      <c r="H25" s="217"/>
      <c r="I25" s="217"/>
      <c r="J25" s="217"/>
      <c r="K25" s="217"/>
      <c r="L25" s="217"/>
      <c r="M25" s="217"/>
      <c r="N25" s="217"/>
      <c r="O25" s="217"/>
      <c r="P25" s="355"/>
      <c r="Q25" s="217"/>
      <c r="R25" s="217"/>
      <c r="S25" s="217"/>
      <c r="T25" s="217"/>
      <c r="U25" s="217"/>
      <c r="V25" s="217"/>
      <c r="W25" s="217"/>
      <c r="X25" s="217"/>
      <c r="Y25" s="217"/>
      <c r="Z25" s="217"/>
      <c r="AA25" s="217"/>
      <c r="AB25" s="217"/>
      <c r="AC25" s="217"/>
      <c r="AD25" s="217"/>
      <c r="AE25" s="355"/>
      <c r="AF25" s="217"/>
      <c r="AG25" s="217"/>
      <c r="AH25" s="217"/>
      <c r="AI25" s="217"/>
      <c r="AJ25" s="217"/>
      <c r="AK25" s="217"/>
      <c r="AL25" s="217"/>
      <c r="AM25" s="217"/>
      <c r="AN25" s="217"/>
      <c r="AO25" s="217"/>
      <c r="AP25" s="217"/>
      <c r="AQ25" s="217"/>
      <c r="AR25" s="217"/>
      <c r="AS25" s="217"/>
      <c r="AT25" s="355"/>
      <c r="AU25" s="217"/>
      <c r="AV25" s="217"/>
      <c r="AW25" s="217"/>
      <c r="AX25" s="217"/>
      <c r="AY25" s="217"/>
      <c r="AZ25" s="217"/>
      <c r="BA25" s="217"/>
      <c r="BB25" s="217"/>
      <c r="BC25" s="217"/>
      <c r="BD25" s="217"/>
      <c r="BE25" s="217"/>
      <c r="BF25" s="217"/>
      <c r="BG25" s="217"/>
      <c r="BH25" s="217"/>
    </row>
    <row r="26" spans="1:60">
      <c r="A26" s="254">
        <v>16</v>
      </c>
      <c r="B26" s="242"/>
      <c r="C26" s="243"/>
      <c r="D26" s="243"/>
      <c r="E26" s="357"/>
      <c r="F26" s="217"/>
      <c r="G26" s="217"/>
      <c r="H26" s="217"/>
      <c r="I26" s="217"/>
      <c r="J26" s="217"/>
      <c r="K26" s="217"/>
      <c r="L26" s="217"/>
      <c r="M26" s="217"/>
      <c r="N26" s="217"/>
      <c r="O26" s="217"/>
      <c r="P26" s="355"/>
      <c r="Q26" s="217"/>
      <c r="R26" s="217"/>
      <c r="S26" s="217"/>
      <c r="T26" s="217"/>
      <c r="U26" s="217"/>
      <c r="V26" s="217"/>
      <c r="W26" s="217"/>
      <c r="X26" s="217"/>
      <c r="Y26" s="217"/>
      <c r="Z26" s="217"/>
      <c r="AA26" s="217"/>
      <c r="AB26" s="217"/>
      <c r="AC26" s="217"/>
      <c r="AD26" s="217"/>
      <c r="AE26" s="355"/>
      <c r="AF26" s="217"/>
      <c r="AG26" s="217"/>
      <c r="AH26" s="217"/>
      <c r="AI26" s="217"/>
      <c r="AJ26" s="217"/>
      <c r="AK26" s="217"/>
      <c r="AL26" s="217"/>
      <c r="AM26" s="217"/>
      <c r="AN26" s="217"/>
      <c r="AO26" s="217"/>
      <c r="AP26" s="217"/>
      <c r="AQ26" s="217"/>
      <c r="AR26" s="217"/>
      <c r="AS26" s="217"/>
      <c r="AT26" s="355"/>
      <c r="AU26" s="217"/>
      <c r="AV26" s="217"/>
      <c r="AW26" s="217"/>
      <c r="AX26" s="217"/>
      <c r="AY26" s="217"/>
      <c r="AZ26" s="217"/>
      <c r="BA26" s="217"/>
      <c r="BB26" s="217"/>
      <c r="BC26" s="217"/>
      <c r="BD26" s="217"/>
      <c r="BE26" s="217"/>
      <c r="BF26" s="217"/>
      <c r="BG26" s="217"/>
      <c r="BH26" s="217"/>
    </row>
    <row r="27" spans="1:60">
      <c r="A27" s="254">
        <v>17</v>
      </c>
      <c r="B27" s="242"/>
      <c r="C27" s="243"/>
      <c r="D27" s="243"/>
      <c r="E27" s="357"/>
      <c r="F27" s="217"/>
      <c r="G27" s="217"/>
      <c r="H27" s="217"/>
      <c r="I27" s="217"/>
      <c r="J27" s="217"/>
      <c r="K27" s="217"/>
      <c r="L27" s="217"/>
      <c r="M27" s="217"/>
      <c r="N27" s="217"/>
      <c r="O27" s="217"/>
      <c r="P27" s="355"/>
      <c r="Q27" s="217"/>
      <c r="R27" s="217"/>
      <c r="S27" s="217"/>
      <c r="T27" s="217"/>
      <c r="U27" s="217"/>
      <c r="V27" s="217"/>
      <c r="W27" s="217"/>
      <c r="X27" s="217"/>
      <c r="Y27" s="217"/>
      <c r="Z27" s="217"/>
      <c r="AA27" s="217"/>
      <c r="AB27" s="217"/>
      <c r="AC27" s="217"/>
      <c r="AD27" s="217"/>
      <c r="AE27" s="355"/>
      <c r="AF27" s="217"/>
      <c r="AG27" s="217"/>
      <c r="AH27" s="217"/>
      <c r="AI27" s="217"/>
      <c r="AJ27" s="217"/>
      <c r="AK27" s="217"/>
      <c r="AL27" s="217"/>
      <c r="AM27" s="217"/>
      <c r="AN27" s="217"/>
      <c r="AO27" s="217"/>
      <c r="AP27" s="217"/>
      <c r="AQ27" s="217"/>
      <c r="AR27" s="217"/>
      <c r="AS27" s="217"/>
      <c r="AT27" s="355"/>
      <c r="AU27" s="217"/>
      <c r="AV27" s="217"/>
      <c r="AW27" s="217"/>
      <c r="AX27" s="217"/>
      <c r="AY27" s="217"/>
      <c r="AZ27" s="217"/>
      <c r="BA27" s="217"/>
      <c r="BB27" s="217"/>
      <c r="BC27" s="217"/>
      <c r="BD27" s="217"/>
      <c r="BE27" s="217"/>
      <c r="BF27" s="217"/>
      <c r="BG27" s="217"/>
      <c r="BH27" s="217"/>
    </row>
    <row r="28" spans="1:60">
      <c r="A28" s="254">
        <v>18</v>
      </c>
      <c r="B28" s="242"/>
      <c r="C28" s="243"/>
      <c r="D28" s="243"/>
      <c r="E28" s="357"/>
      <c r="F28" s="217"/>
      <c r="G28" s="217"/>
      <c r="H28" s="217"/>
      <c r="I28" s="217"/>
      <c r="J28" s="217"/>
      <c r="K28" s="217"/>
      <c r="L28" s="217"/>
      <c r="M28" s="217"/>
      <c r="N28" s="217"/>
      <c r="O28" s="217"/>
      <c r="P28" s="355"/>
      <c r="Q28" s="217"/>
      <c r="R28" s="217"/>
      <c r="S28" s="217"/>
      <c r="T28" s="217"/>
      <c r="U28" s="217"/>
      <c r="V28" s="217"/>
      <c r="W28" s="217"/>
      <c r="X28" s="217"/>
      <c r="Y28" s="217"/>
      <c r="Z28" s="217"/>
      <c r="AA28" s="217"/>
      <c r="AB28" s="217"/>
      <c r="AC28" s="217"/>
      <c r="AD28" s="217"/>
      <c r="AE28" s="355"/>
      <c r="AF28" s="217"/>
      <c r="AG28" s="217"/>
      <c r="AH28" s="217"/>
      <c r="AI28" s="217"/>
      <c r="AJ28" s="217"/>
      <c r="AK28" s="217"/>
      <c r="AL28" s="217"/>
      <c r="AM28" s="217"/>
      <c r="AN28" s="217"/>
      <c r="AO28" s="217"/>
      <c r="AP28" s="217"/>
      <c r="AQ28" s="217"/>
      <c r="AR28" s="217"/>
      <c r="AS28" s="217"/>
      <c r="AT28" s="355"/>
      <c r="AU28" s="217"/>
      <c r="AV28" s="217"/>
      <c r="AW28" s="217"/>
      <c r="AX28" s="217"/>
      <c r="AY28" s="217"/>
      <c r="AZ28" s="217"/>
      <c r="BA28" s="217"/>
      <c r="BB28" s="217"/>
      <c r="BC28" s="217"/>
      <c r="BD28" s="217"/>
      <c r="BE28" s="217"/>
      <c r="BF28" s="217"/>
      <c r="BG28" s="217"/>
      <c r="BH28" s="217"/>
    </row>
    <row r="29" spans="1:60">
      <c r="A29" s="254">
        <v>19</v>
      </c>
      <c r="B29" s="242"/>
      <c r="C29" s="243"/>
      <c r="D29" s="243"/>
      <c r="E29" s="357"/>
      <c r="F29" s="217"/>
      <c r="G29" s="217"/>
      <c r="H29" s="217"/>
      <c r="I29" s="217"/>
      <c r="J29" s="217"/>
      <c r="K29" s="217"/>
      <c r="L29" s="217"/>
      <c r="M29" s="217"/>
      <c r="N29" s="217"/>
      <c r="O29" s="217"/>
      <c r="P29" s="355"/>
      <c r="Q29" s="217"/>
      <c r="R29" s="217"/>
      <c r="S29" s="217"/>
      <c r="T29" s="217"/>
      <c r="U29" s="217"/>
      <c r="V29" s="217"/>
      <c r="W29" s="217"/>
      <c r="X29" s="217"/>
      <c r="Y29" s="217"/>
      <c r="Z29" s="217"/>
      <c r="AA29" s="217"/>
      <c r="AB29" s="217"/>
      <c r="AC29" s="217"/>
      <c r="AD29" s="217"/>
      <c r="AE29" s="355"/>
      <c r="AF29" s="217"/>
      <c r="AG29" s="217"/>
      <c r="AH29" s="217"/>
      <c r="AI29" s="217"/>
      <c r="AJ29" s="217"/>
      <c r="AK29" s="217"/>
      <c r="AL29" s="217"/>
      <c r="AM29" s="217"/>
      <c r="AN29" s="217"/>
      <c r="AO29" s="217"/>
      <c r="AP29" s="217"/>
      <c r="AQ29" s="217"/>
      <c r="AR29" s="217"/>
      <c r="AS29" s="217"/>
      <c r="AT29" s="355"/>
      <c r="AU29" s="217"/>
      <c r="AV29" s="217"/>
      <c r="AW29" s="217"/>
      <c r="AX29" s="217"/>
      <c r="AY29" s="217"/>
      <c r="AZ29" s="217"/>
      <c r="BA29" s="217"/>
      <c r="BB29" s="217"/>
      <c r="BC29" s="217"/>
      <c r="BD29" s="217"/>
      <c r="BE29" s="217"/>
      <c r="BF29" s="217"/>
      <c r="BG29" s="217"/>
      <c r="BH29" s="217"/>
    </row>
    <row r="30" spans="1:60">
      <c r="A30" s="254">
        <v>20</v>
      </c>
      <c r="B30" s="242"/>
      <c r="C30" s="243"/>
      <c r="D30" s="243"/>
      <c r="E30" s="357"/>
      <c r="F30" s="217"/>
      <c r="G30" s="217"/>
      <c r="H30" s="217"/>
      <c r="I30" s="217"/>
      <c r="J30" s="217"/>
      <c r="K30" s="217"/>
      <c r="L30" s="217"/>
      <c r="M30" s="217"/>
      <c r="N30" s="217"/>
      <c r="O30" s="217"/>
      <c r="P30" s="355"/>
      <c r="Q30" s="217"/>
      <c r="R30" s="217"/>
      <c r="S30" s="217"/>
      <c r="T30" s="217"/>
      <c r="U30" s="217"/>
      <c r="V30" s="217"/>
      <c r="W30" s="217"/>
      <c r="X30" s="217"/>
      <c r="Y30" s="217"/>
      <c r="Z30" s="217"/>
      <c r="AA30" s="217"/>
      <c r="AB30" s="217"/>
      <c r="AC30" s="217"/>
      <c r="AD30" s="217"/>
      <c r="AE30" s="355"/>
      <c r="AF30" s="217"/>
      <c r="AG30" s="217"/>
      <c r="AH30" s="217"/>
      <c r="AI30" s="217"/>
      <c r="AJ30" s="217"/>
      <c r="AK30" s="217"/>
      <c r="AL30" s="217"/>
      <c r="AM30" s="217"/>
      <c r="AN30" s="217"/>
      <c r="AO30" s="217"/>
      <c r="AP30" s="217"/>
      <c r="AQ30" s="217"/>
      <c r="AR30" s="217"/>
      <c r="AS30" s="217"/>
      <c r="AT30" s="355"/>
      <c r="AU30" s="217"/>
      <c r="AV30" s="217"/>
      <c r="AW30" s="217"/>
      <c r="AX30" s="217"/>
      <c r="AY30" s="217"/>
      <c r="AZ30" s="217"/>
      <c r="BA30" s="217"/>
      <c r="BB30" s="217"/>
      <c r="BC30" s="217"/>
      <c r="BD30" s="217"/>
      <c r="BE30" s="217"/>
      <c r="BF30" s="217"/>
      <c r="BG30" s="217"/>
      <c r="BH30" s="217"/>
    </row>
    <row r="31" spans="1:60">
      <c r="A31" s="254">
        <v>21</v>
      </c>
      <c r="B31" s="242"/>
      <c r="C31" s="243"/>
      <c r="D31" s="243"/>
      <c r="E31" s="357"/>
      <c r="F31" s="217"/>
      <c r="G31" s="217"/>
      <c r="H31" s="217"/>
      <c r="I31" s="217"/>
      <c r="J31" s="217"/>
      <c r="K31" s="217"/>
      <c r="L31" s="217"/>
      <c r="M31" s="217"/>
      <c r="N31" s="217"/>
      <c r="O31" s="217"/>
      <c r="P31" s="355"/>
      <c r="Q31" s="217"/>
      <c r="R31" s="217"/>
      <c r="S31" s="217"/>
      <c r="T31" s="217"/>
      <c r="U31" s="217"/>
      <c r="V31" s="217"/>
      <c r="W31" s="217"/>
      <c r="X31" s="217"/>
      <c r="Y31" s="217"/>
      <c r="Z31" s="217"/>
      <c r="AA31" s="217"/>
      <c r="AB31" s="217"/>
      <c r="AC31" s="217"/>
      <c r="AD31" s="217"/>
      <c r="AE31" s="355"/>
      <c r="AF31" s="217"/>
      <c r="AG31" s="217"/>
      <c r="AH31" s="217"/>
      <c r="AI31" s="217"/>
      <c r="AJ31" s="217"/>
      <c r="AK31" s="217"/>
      <c r="AL31" s="217"/>
      <c r="AM31" s="217"/>
      <c r="AN31" s="217"/>
      <c r="AO31" s="217"/>
      <c r="AP31" s="217"/>
      <c r="AQ31" s="217"/>
      <c r="AR31" s="217"/>
      <c r="AS31" s="217"/>
      <c r="AT31" s="355"/>
      <c r="AU31" s="217"/>
      <c r="AV31" s="217"/>
      <c r="AW31" s="217"/>
      <c r="AX31" s="217"/>
      <c r="AY31" s="217"/>
      <c r="AZ31" s="217"/>
      <c r="BA31" s="217"/>
      <c r="BB31" s="217"/>
      <c r="BC31" s="217"/>
      <c r="BD31" s="217"/>
      <c r="BE31" s="217"/>
      <c r="BF31" s="217"/>
      <c r="BG31" s="217"/>
      <c r="BH31" s="217"/>
    </row>
    <row r="32" spans="1:60">
      <c r="A32" s="254">
        <v>22</v>
      </c>
      <c r="B32" s="242"/>
      <c r="C32" s="243"/>
      <c r="D32" s="243"/>
      <c r="E32" s="357"/>
      <c r="F32" s="217"/>
      <c r="G32" s="217"/>
      <c r="H32" s="217"/>
      <c r="I32" s="217"/>
      <c r="J32" s="217"/>
      <c r="K32" s="217"/>
      <c r="L32" s="217"/>
      <c r="M32" s="217"/>
      <c r="N32" s="217"/>
      <c r="O32" s="217"/>
      <c r="P32" s="355"/>
      <c r="Q32" s="217"/>
      <c r="R32" s="217"/>
      <c r="S32" s="217"/>
      <c r="T32" s="217"/>
      <c r="U32" s="217"/>
      <c r="V32" s="217"/>
      <c r="W32" s="217"/>
      <c r="X32" s="217"/>
      <c r="Y32" s="217"/>
      <c r="Z32" s="217"/>
      <c r="AA32" s="217"/>
      <c r="AB32" s="217"/>
      <c r="AC32" s="217"/>
      <c r="AD32" s="217"/>
      <c r="AE32" s="355"/>
      <c r="AF32" s="217"/>
      <c r="AG32" s="217"/>
      <c r="AH32" s="217"/>
      <c r="AI32" s="217"/>
      <c r="AJ32" s="217"/>
      <c r="AK32" s="217"/>
      <c r="AL32" s="217"/>
      <c r="AM32" s="217"/>
      <c r="AN32" s="217"/>
      <c r="AO32" s="217"/>
      <c r="AP32" s="217"/>
      <c r="AQ32" s="217"/>
      <c r="AR32" s="217"/>
      <c r="AS32" s="217"/>
      <c r="AT32" s="355"/>
      <c r="AU32" s="217"/>
      <c r="AV32" s="217"/>
      <c r="AW32" s="217"/>
      <c r="AX32" s="217"/>
      <c r="AY32" s="217"/>
      <c r="AZ32" s="217"/>
      <c r="BA32" s="217"/>
      <c r="BB32" s="217"/>
      <c r="BC32" s="217"/>
      <c r="BD32" s="217"/>
      <c r="BE32" s="217"/>
      <c r="BF32" s="217"/>
      <c r="BG32" s="217"/>
      <c r="BH32" s="217"/>
    </row>
    <row r="33" spans="1:60">
      <c r="A33" s="254">
        <v>23</v>
      </c>
      <c r="B33" s="242"/>
      <c r="C33" s="243"/>
      <c r="D33" s="243"/>
      <c r="E33" s="357"/>
      <c r="F33" s="217"/>
      <c r="G33" s="217"/>
      <c r="H33" s="217"/>
      <c r="I33" s="217"/>
      <c r="J33" s="217"/>
      <c r="K33" s="217"/>
      <c r="L33" s="217"/>
      <c r="M33" s="217"/>
      <c r="N33" s="217"/>
      <c r="O33" s="217"/>
      <c r="P33" s="355"/>
      <c r="Q33" s="217"/>
      <c r="R33" s="217"/>
      <c r="S33" s="217"/>
      <c r="T33" s="217"/>
      <c r="U33" s="217"/>
      <c r="V33" s="217"/>
      <c r="W33" s="217"/>
      <c r="X33" s="217"/>
      <c r="Y33" s="217"/>
      <c r="Z33" s="217"/>
      <c r="AA33" s="217"/>
      <c r="AB33" s="217"/>
      <c r="AC33" s="217"/>
      <c r="AD33" s="217"/>
      <c r="AE33" s="355"/>
      <c r="AF33" s="217"/>
      <c r="AG33" s="217"/>
      <c r="AH33" s="217"/>
      <c r="AI33" s="217"/>
      <c r="AJ33" s="217"/>
      <c r="AK33" s="217"/>
      <c r="AL33" s="217"/>
      <c r="AM33" s="217"/>
      <c r="AN33" s="217"/>
      <c r="AO33" s="217"/>
      <c r="AP33" s="217"/>
      <c r="AQ33" s="217"/>
      <c r="AR33" s="217"/>
      <c r="AS33" s="217"/>
      <c r="AT33" s="355"/>
      <c r="AU33" s="217"/>
      <c r="AV33" s="217"/>
      <c r="AW33" s="217"/>
      <c r="AX33" s="217"/>
      <c r="AY33" s="217"/>
      <c r="AZ33" s="217"/>
      <c r="BA33" s="217"/>
      <c r="BB33" s="217"/>
      <c r="BC33" s="217"/>
      <c r="BD33" s="217"/>
      <c r="BE33" s="217"/>
      <c r="BF33" s="217"/>
      <c r="BG33" s="217"/>
      <c r="BH33" s="217"/>
    </row>
    <row r="34" spans="1:60">
      <c r="A34" s="254">
        <v>24</v>
      </c>
      <c r="B34" s="242"/>
      <c r="C34" s="243"/>
      <c r="D34" s="243"/>
      <c r="E34" s="357"/>
      <c r="F34" s="217"/>
      <c r="G34" s="217"/>
      <c r="H34" s="217"/>
      <c r="I34" s="217"/>
      <c r="J34" s="217"/>
      <c r="K34" s="217"/>
      <c r="L34" s="217"/>
      <c r="M34" s="217"/>
      <c r="N34" s="217"/>
      <c r="O34" s="217"/>
      <c r="P34" s="355"/>
      <c r="Q34" s="217"/>
      <c r="R34" s="217"/>
      <c r="S34" s="217"/>
      <c r="T34" s="217"/>
      <c r="U34" s="217"/>
      <c r="V34" s="217"/>
      <c r="W34" s="217"/>
      <c r="X34" s="217"/>
      <c r="Y34" s="217"/>
      <c r="Z34" s="217"/>
      <c r="AA34" s="217"/>
      <c r="AB34" s="217"/>
      <c r="AC34" s="217"/>
      <c r="AD34" s="217"/>
      <c r="AE34" s="355"/>
      <c r="AF34" s="217"/>
      <c r="AG34" s="217"/>
      <c r="AH34" s="217"/>
      <c r="AI34" s="217"/>
      <c r="AJ34" s="217"/>
      <c r="AK34" s="217"/>
      <c r="AL34" s="217"/>
      <c r="AM34" s="217"/>
      <c r="AN34" s="217"/>
      <c r="AO34" s="217"/>
      <c r="AP34" s="217"/>
      <c r="AQ34" s="217"/>
      <c r="AR34" s="217"/>
      <c r="AS34" s="217"/>
      <c r="AT34" s="355"/>
      <c r="AU34" s="217"/>
      <c r="AV34" s="217"/>
      <c r="AW34" s="217"/>
      <c r="AX34" s="217"/>
      <c r="AY34" s="217"/>
      <c r="AZ34" s="217"/>
      <c r="BA34" s="217"/>
      <c r="BB34" s="217"/>
      <c r="BC34" s="217"/>
      <c r="BD34" s="217"/>
      <c r="BE34" s="217"/>
      <c r="BF34" s="217"/>
      <c r="BG34" s="217"/>
      <c r="BH34" s="217"/>
    </row>
    <row r="35" spans="1:60">
      <c r="A35" s="254">
        <v>25</v>
      </c>
      <c r="B35" s="242"/>
      <c r="C35" s="243"/>
      <c r="D35" s="243"/>
      <c r="E35" s="357"/>
      <c r="F35" s="217"/>
      <c r="G35" s="217"/>
      <c r="H35" s="217"/>
      <c r="I35" s="217"/>
      <c r="J35" s="217"/>
      <c r="K35" s="217"/>
      <c r="L35" s="217"/>
      <c r="M35" s="217"/>
      <c r="N35" s="217"/>
      <c r="O35" s="217"/>
      <c r="P35" s="355"/>
      <c r="Q35" s="217"/>
      <c r="R35" s="217"/>
      <c r="S35" s="217"/>
      <c r="T35" s="217"/>
      <c r="U35" s="217"/>
      <c r="V35" s="217"/>
      <c r="W35" s="217"/>
      <c r="X35" s="217"/>
      <c r="Y35" s="217"/>
      <c r="Z35" s="217"/>
      <c r="AA35" s="217"/>
      <c r="AB35" s="217"/>
      <c r="AC35" s="217"/>
      <c r="AD35" s="217"/>
      <c r="AE35" s="355"/>
      <c r="AF35" s="217"/>
      <c r="AG35" s="217"/>
      <c r="AH35" s="217"/>
      <c r="AI35" s="217"/>
      <c r="AJ35" s="217"/>
      <c r="AK35" s="217"/>
      <c r="AL35" s="217"/>
      <c r="AM35" s="217"/>
      <c r="AN35" s="217"/>
      <c r="AO35" s="217"/>
      <c r="AP35" s="217"/>
      <c r="AQ35" s="217"/>
      <c r="AR35" s="217"/>
      <c r="AS35" s="217"/>
      <c r="AT35" s="355"/>
      <c r="AU35" s="217"/>
      <c r="AV35" s="217"/>
      <c r="AW35" s="217"/>
      <c r="AX35" s="217"/>
      <c r="AY35" s="217"/>
      <c r="AZ35" s="217"/>
      <c r="BA35" s="217"/>
      <c r="BB35" s="217"/>
      <c r="BC35" s="217"/>
      <c r="BD35" s="217"/>
      <c r="BE35" s="217"/>
      <c r="BF35" s="217"/>
      <c r="BG35" s="217"/>
      <c r="BH35" s="217"/>
    </row>
    <row r="36" spans="1:60">
      <c r="A36" s="254">
        <v>26</v>
      </c>
      <c r="B36" s="242"/>
      <c r="C36" s="243"/>
      <c r="D36" s="243"/>
      <c r="E36" s="357"/>
      <c r="F36" s="217"/>
      <c r="G36" s="217"/>
      <c r="H36" s="217"/>
      <c r="I36" s="217"/>
      <c r="J36" s="217"/>
      <c r="K36" s="217"/>
      <c r="L36" s="217"/>
      <c r="M36" s="217"/>
      <c r="N36" s="217"/>
      <c r="O36" s="217"/>
      <c r="P36" s="355"/>
      <c r="Q36" s="217"/>
      <c r="R36" s="217"/>
      <c r="S36" s="217"/>
      <c r="T36" s="217"/>
      <c r="U36" s="217"/>
      <c r="V36" s="217"/>
      <c r="W36" s="217"/>
      <c r="X36" s="217"/>
      <c r="Y36" s="217"/>
      <c r="Z36" s="217"/>
      <c r="AA36" s="217"/>
      <c r="AB36" s="217"/>
      <c r="AC36" s="217"/>
      <c r="AD36" s="217"/>
      <c r="AE36" s="355"/>
      <c r="AF36" s="217"/>
      <c r="AG36" s="217"/>
      <c r="AH36" s="217"/>
      <c r="AI36" s="217"/>
      <c r="AJ36" s="217"/>
      <c r="AK36" s="217"/>
      <c r="AL36" s="217"/>
      <c r="AM36" s="217"/>
      <c r="AN36" s="217"/>
      <c r="AO36" s="217"/>
      <c r="AP36" s="217"/>
      <c r="AQ36" s="217"/>
      <c r="AR36" s="217"/>
      <c r="AS36" s="217"/>
      <c r="AT36" s="355"/>
      <c r="AU36" s="217"/>
      <c r="AV36" s="217"/>
      <c r="AW36" s="217"/>
      <c r="AX36" s="217"/>
      <c r="AY36" s="217"/>
      <c r="AZ36" s="217"/>
      <c r="BA36" s="217"/>
      <c r="BB36" s="217"/>
      <c r="BC36" s="217"/>
      <c r="BD36" s="217"/>
      <c r="BE36" s="217"/>
      <c r="BF36" s="217"/>
      <c r="BG36" s="217"/>
      <c r="BH36" s="217"/>
    </row>
    <row r="37" spans="1:60">
      <c r="A37" s="254">
        <v>27</v>
      </c>
      <c r="B37" s="242"/>
      <c r="C37" s="243"/>
      <c r="D37" s="243"/>
      <c r="E37" s="357"/>
      <c r="F37" s="217"/>
      <c r="G37" s="217"/>
      <c r="H37" s="217"/>
      <c r="I37" s="217"/>
      <c r="J37" s="217"/>
      <c r="K37" s="217"/>
      <c r="L37" s="217"/>
      <c r="M37" s="217"/>
      <c r="N37" s="217"/>
      <c r="O37" s="217"/>
      <c r="P37" s="355"/>
      <c r="Q37" s="217"/>
      <c r="R37" s="217"/>
      <c r="S37" s="217"/>
      <c r="T37" s="217"/>
      <c r="U37" s="217"/>
      <c r="V37" s="217"/>
      <c r="W37" s="217"/>
      <c r="X37" s="217"/>
      <c r="Y37" s="217"/>
      <c r="Z37" s="217"/>
      <c r="AA37" s="217"/>
      <c r="AB37" s="217"/>
      <c r="AC37" s="217"/>
      <c r="AD37" s="217"/>
      <c r="AE37" s="355"/>
      <c r="AF37" s="217"/>
      <c r="AG37" s="217"/>
      <c r="AH37" s="217"/>
      <c r="AI37" s="217"/>
      <c r="AJ37" s="217"/>
      <c r="AK37" s="217"/>
      <c r="AL37" s="217"/>
      <c r="AM37" s="217"/>
      <c r="AN37" s="217"/>
      <c r="AO37" s="217"/>
      <c r="AP37" s="217"/>
      <c r="AQ37" s="217"/>
      <c r="AR37" s="217"/>
      <c r="AS37" s="217"/>
      <c r="AT37" s="355"/>
      <c r="AU37" s="217"/>
      <c r="AV37" s="217"/>
      <c r="AW37" s="217"/>
      <c r="AX37" s="217"/>
      <c r="AY37" s="217"/>
      <c r="AZ37" s="217"/>
      <c r="BA37" s="217"/>
      <c r="BB37" s="217"/>
      <c r="BC37" s="217"/>
      <c r="BD37" s="217"/>
      <c r="BE37" s="217"/>
      <c r="BF37" s="217"/>
      <c r="BG37" s="217"/>
      <c r="BH37" s="217"/>
    </row>
    <row r="38" spans="1:60">
      <c r="A38" s="254">
        <v>28</v>
      </c>
      <c r="B38" s="242"/>
      <c r="C38" s="243"/>
      <c r="D38" s="243"/>
      <c r="E38" s="357"/>
      <c r="F38" s="217"/>
      <c r="G38" s="217"/>
      <c r="H38" s="217"/>
      <c r="I38" s="217"/>
      <c r="J38" s="217"/>
      <c r="K38" s="217"/>
      <c r="L38" s="217"/>
      <c r="M38" s="217"/>
      <c r="N38" s="217"/>
      <c r="O38" s="217"/>
      <c r="P38" s="355"/>
      <c r="Q38" s="217"/>
      <c r="R38" s="217"/>
      <c r="S38" s="217"/>
      <c r="T38" s="217"/>
      <c r="U38" s="217"/>
      <c r="V38" s="217"/>
      <c r="W38" s="217"/>
      <c r="X38" s="217"/>
      <c r="Y38" s="217"/>
      <c r="Z38" s="217"/>
      <c r="AA38" s="217"/>
      <c r="AB38" s="217"/>
      <c r="AC38" s="217"/>
      <c r="AD38" s="217"/>
      <c r="AE38" s="355"/>
      <c r="AF38" s="217"/>
      <c r="AG38" s="217"/>
      <c r="AH38" s="217"/>
      <c r="AI38" s="217"/>
      <c r="AJ38" s="217"/>
      <c r="AK38" s="217"/>
      <c r="AL38" s="217"/>
      <c r="AM38" s="217"/>
      <c r="AN38" s="217"/>
      <c r="AO38" s="217"/>
      <c r="AP38" s="217"/>
      <c r="AQ38" s="217"/>
      <c r="AR38" s="217"/>
      <c r="AS38" s="217"/>
      <c r="AT38" s="355"/>
      <c r="AU38" s="217"/>
      <c r="AV38" s="217"/>
      <c r="AW38" s="217"/>
      <c r="AX38" s="217"/>
      <c r="AY38" s="217"/>
      <c r="AZ38" s="217"/>
      <c r="BA38" s="217"/>
      <c r="BB38" s="217"/>
      <c r="BC38" s="217"/>
      <c r="BD38" s="217"/>
      <c r="BE38" s="217"/>
      <c r="BF38" s="217"/>
      <c r="BG38" s="217"/>
      <c r="BH38" s="217"/>
    </row>
    <row r="39" spans="1:60">
      <c r="A39" s="254">
        <v>29</v>
      </c>
      <c r="B39" s="242"/>
      <c r="C39" s="243"/>
      <c r="D39" s="243"/>
      <c r="E39" s="357"/>
      <c r="F39" s="217"/>
      <c r="G39" s="217"/>
      <c r="H39" s="217"/>
      <c r="I39" s="217"/>
      <c r="J39" s="217"/>
      <c r="K39" s="217"/>
      <c r="L39" s="217"/>
      <c r="M39" s="217"/>
      <c r="N39" s="217"/>
      <c r="O39" s="217"/>
      <c r="P39" s="355"/>
      <c r="Q39" s="217"/>
      <c r="R39" s="217"/>
      <c r="S39" s="217"/>
      <c r="T39" s="217"/>
      <c r="U39" s="217"/>
      <c r="V39" s="217"/>
      <c r="W39" s="217"/>
      <c r="X39" s="217"/>
      <c r="Y39" s="217"/>
      <c r="Z39" s="217"/>
      <c r="AA39" s="217"/>
      <c r="AB39" s="217"/>
      <c r="AC39" s="217"/>
      <c r="AD39" s="217"/>
      <c r="AE39" s="355"/>
      <c r="AF39" s="217"/>
      <c r="AG39" s="217"/>
      <c r="AH39" s="217"/>
      <c r="AI39" s="217"/>
      <c r="AJ39" s="217"/>
      <c r="AK39" s="217"/>
      <c r="AL39" s="217"/>
      <c r="AM39" s="217"/>
      <c r="AN39" s="217"/>
      <c r="AO39" s="217"/>
      <c r="AP39" s="217"/>
      <c r="AQ39" s="217"/>
      <c r="AR39" s="217"/>
      <c r="AS39" s="217"/>
      <c r="AT39" s="355"/>
      <c r="AU39" s="217"/>
      <c r="AV39" s="217"/>
      <c r="AW39" s="217"/>
      <c r="AX39" s="217"/>
      <c r="AY39" s="217"/>
      <c r="AZ39" s="217"/>
      <c r="BA39" s="217"/>
      <c r="BB39" s="217"/>
      <c r="BC39" s="217"/>
      <c r="BD39" s="217"/>
      <c r="BE39" s="217"/>
      <c r="BF39" s="217"/>
      <c r="BG39" s="217"/>
      <c r="BH39" s="217"/>
    </row>
    <row r="40" spans="1:60">
      <c r="A40" s="254">
        <v>30</v>
      </c>
      <c r="B40" s="242"/>
      <c r="C40" s="243"/>
      <c r="D40" s="243"/>
      <c r="E40" s="357"/>
      <c r="F40" s="217"/>
      <c r="G40" s="217"/>
      <c r="H40" s="217"/>
      <c r="I40" s="217"/>
      <c r="J40" s="217"/>
      <c r="K40" s="217"/>
      <c r="L40" s="217"/>
      <c r="M40" s="217"/>
      <c r="N40" s="217"/>
      <c r="O40" s="217"/>
      <c r="P40" s="355"/>
      <c r="Q40" s="217"/>
      <c r="R40" s="217"/>
      <c r="S40" s="217"/>
      <c r="T40" s="217"/>
      <c r="U40" s="217"/>
      <c r="V40" s="217"/>
      <c r="W40" s="217"/>
      <c r="X40" s="217"/>
      <c r="Y40" s="217"/>
      <c r="Z40" s="217"/>
      <c r="AA40" s="217"/>
      <c r="AB40" s="217"/>
      <c r="AC40" s="217"/>
      <c r="AD40" s="217"/>
      <c r="AE40" s="355"/>
      <c r="AF40" s="217"/>
      <c r="AG40" s="217"/>
      <c r="AH40" s="217"/>
      <c r="AI40" s="217"/>
      <c r="AJ40" s="217"/>
      <c r="AK40" s="217"/>
      <c r="AL40" s="217"/>
      <c r="AM40" s="217"/>
      <c r="AN40" s="217"/>
      <c r="AO40" s="217"/>
      <c r="AP40" s="217"/>
      <c r="AQ40" s="217"/>
      <c r="AR40" s="217"/>
      <c r="AS40" s="217"/>
      <c r="AT40" s="355"/>
      <c r="AU40" s="217"/>
      <c r="AV40" s="217"/>
      <c r="AW40" s="217"/>
      <c r="AX40" s="217"/>
      <c r="AY40" s="217"/>
      <c r="AZ40" s="217"/>
      <c r="BA40" s="217"/>
      <c r="BB40" s="217"/>
      <c r="BC40" s="217"/>
      <c r="BD40" s="217"/>
      <c r="BE40" s="217"/>
      <c r="BF40" s="217"/>
      <c r="BG40" s="217"/>
      <c r="BH40" s="217"/>
    </row>
    <row r="41" spans="1:60">
      <c r="A41" s="254">
        <v>31</v>
      </c>
      <c r="B41" s="242"/>
      <c r="C41" s="243"/>
      <c r="D41" s="243"/>
      <c r="E41" s="357"/>
      <c r="F41" s="217"/>
      <c r="G41" s="217"/>
      <c r="H41" s="217"/>
      <c r="I41" s="217"/>
      <c r="J41" s="217"/>
      <c r="K41" s="217"/>
      <c r="L41" s="217"/>
      <c r="M41" s="217"/>
      <c r="N41" s="217"/>
      <c r="O41" s="217"/>
      <c r="P41" s="355"/>
      <c r="Q41" s="217"/>
      <c r="R41" s="217"/>
      <c r="S41" s="217"/>
      <c r="T41" s="217"/>
      <c r="U41" s="217"/>
      <c r="V41" s="217"/>
      <c r="W41" s="217"/>
      <c r="X41" s="217"/>
      <c r="Y41" s="217"/>
      <c r="Z41" s="217"/>
      <c r="AA41" s="217"/>
      <c r="AB41" s="217"/>
      <c r="AC41" s="217"/>
      <c r="AD41" s="217"/>
      <c r="AE41" s="355"/>
      <c r="AF41" s="217"/>
      <c r="AG41" s="217"/>
      <c r="AH41" s="217"/>
      <c r="AI41" s="217"/>
      <c r="AJ41" s="217"/>
      <c r="AK41" s="217"/>
      <c r="AL41" s="217"/>
      <c r="AM41" s="217"/>
      <c r="AN41" s="217"/>
      <c r="AO41" s="217"/>
      <c r="AP41" s="217"/>
      <c r="AQ41" s="217"/>
      <c r="AR41" s="217"/>
      <c r="AS41" s="217"/>
      <c r="AT41" s="355"/>
      <c r="AU41" s="217"/>
      <c r="AV41" s="217"/>
      <c r="AW41" s="217"/>
      <c r="AX41" s="217"/>
      <c r="AY41" s="217"/>
      <c r="AZ41" s="217"/>
      <c r="BA41" s="217"/>
      <c r="BB41" s="217"/>
      <c r="BC41" s="217"/>
      <c r="BD41" s="217"/>
      <c r="BE41" s="217"/>
      <c r="BF41" s="217"/>
      <c r="BG41" s="217"/>
      <c r="BH41" s="217"/>
    </row>
    <row r="42" spans="1:60">
      <c r="A42" s="254">
        <v>32</v>
      </c>
      <c r="B42" s="242"/>
      <c r="C42" s="243"/>
      <c r="D42" s="243"/>
      <c r="E42" s="357"/>
      <c r="F42" s="217"/>
      <c r="G42" s="217"/>
      <c r="H42" s="217"/>
      <c r="I42" s="217"/>
      <c r="J42" s="217"/>
      <c r="K42" s="217"/>
      <c r="L42" s="217"/>
      <c r="M42" s="217"/>
      <c r="N42" s="217"/>
      <c r="O42" s="217"/>
      <c r="P42" s="355"/>
      <c r="Q42" s="217"/>
      <c r="R42" s="217"/>
      <c r="S42" s="217"/>
      <c r="T42" s="217"/>
      <c r="U42" s="217"/>
      <c r="V42" s="217"/>
      <c r="W42" s="217"/>
      <c r="X42" s="217"/>
      <c r="Y42" s="217"/>
      <c r="Z42" s="217"/>
      <c r="AA42" s="217"/>
      <c r="AB42" s="217"/>
      <c r="AC42" s="217"/>
      <c r="AD42" s="217"/>
      <c r="AE42" s="355"/>
      <c r="AF42" s="217"/>
      <c r="AG42" s="217"/>
      <c r="AH42" s="217"/>
      <c r="AI42" s="217"/>
      <c r="AJ42" s="217"/>
      <c r="AK42" s="217"/>
      <c r="AL42" s="217"/>
      <c r="AM42" s="217"/>
      <c r="AN42" s="217"/>
      <c r="AO42" s="217"/>
      <c r="AP42" s="217"/>
      <c r="AQ42" s="217"/>
      <c r="AR42" s="217"/>
      <c r="AS42" s="217"/>
      <c r="AT42" s="355"/>
      <c r="AU42" s="217"/>
      <c r="AV42" s="217"/>
      <c r="AW42" s="217"/>
      <c r="AX42" s="217"/>
      <c r="AY42" s="217"/>
      <c r="AZ42" s="217"/>
      <c r="BA42" s="217"/>
      <c r="BB42" s="217"/>
      <c r="BC42" s="217"/>
      <c r="BD42" s="217"/>
      <c r="BE42" s="217"/>
      <c r="BF42" s="217"/>
      <c r="BG42" s="217"/>
      <c r="BH42" s="217"/>
    </row>
    <row r="43" spans="1:60">
      <c r="A43" s="254">
        <v>33</v>
      </c>
      <c r="B43" s="242"/>
      <c r="C43" s="243"/>
      <c r="D43" s="243"/>
      <c r="E43" s="357"/>
      <c r="F43" s="217"/>
      <c r="G43" s="217"/>
      <c r="H43" s="217"/>
      <c r="I43" s="217"/>
      <c r="J43" s="217"/>
      <c r="K43" s="217"/>
      <c r="L43" s="217"/>
      <c r="M43" s="217"/>
      <c r="N43" s="217"/>
      <c r="O43" s="217"/>
      <c r="P43" s="355"/>
      <c r="Q43" s="217"/>
      <c r="R43" s="217"/>
      <c r="S43" s="217"/>
      <c r="T43" s="217"/>
      <c r="U43" s="217"/>
      <c r="V43" s="217"/>
      <c r="W43" s="217"/>
      <c r="X43" s="217"/>
      <c r="Y43" s="217"/>
      <c r="Z43" s="217"/>
      <c r="AA43" s="217"/>
      <c r="AB43" s="217"/>
      <c r="AC43" s="217"/>
      <c r="AD43" s="217"/>
      <c r="AE43" s="355"/>
      <c r="AF43" s="217"/>
      <c r="AG43" s="217"/>
      <c r="AH43" s="217"/>
      <c r="AI43" s="217"/>
      <c r="AJ43" s="217"/>
      <c r="AK43" s="217"/>
      <c r="AL43" s="217"/>
      <c r="AM43" s="217"/>
      <c r="AN43" s="217"/>
      <c r="AO43" s="217"/>
      <c r="AP43" s="217"/>
      <c r="AQ43" s="217"/>
      <c r="AR43" s="217"/>
      <c r="AS43" s="217"/>
      <c r="AT43" s="355"/>
      <c r="AU43" s="217"/>
      <c r="AV43" s="217"/>
      <c r="AW43" s="217"/>
      <c r="AX43" s="217"/>
      <c r="AY43" s="217"/>
      <c r="AZ43" s="217"/>
      <c r="BA43" s="217"/>
      <c r="BB43" s="217"/>
      <c r="BC43" s="217"/>
      <c r="BD43" s="217"/>
      <c r="BE43" s="217"/>
      <c r="BF43" s="217"/>
      <c r="BG43" s="217"/>
      <c r="BH43" s="217"/>
    </row>
    <row r="44" spans="1:60">
      <c r="A44" s="254">
        <v>34</v>
      </c>
      <c r="B44" s="242"/>
      <c r="C44" s="243"/>
      <c r="D44" s="243"/>
      <c r="E44" s="357"/>
      <c r="F44" s="217"/>
      <c r="G44" s="217"/>
      <c r="H44" s="217"/>
      <c r="I44" s="217"/>
      <c r="J44" s="217"/>
      <c r="K44" s="217"/>
      <c r="L44" s="217"/>
      <c r="M44" s="217"/>
      <c r="N44" s="217"/>
      <c r="O44" s="217"/>
      <c r="P44" s="355"/>
      <c r="Q44" s="217"/>
      <c r="R44" s="217"/>
      <c r="S44" s="217"/>
      <c r="T44" s="217"/>
      <c r="U44" s="217"/>
      <c r="V44" s="217"/>
      <c r="W44" s="217"/>
      <c r="X44" s="217"/>
      <c r="Y44" s="217"/>
      <c r="Z44" s="217"/>
      <c r="AA44" s="217"/>
      <c r="AB44" s="217"/>
      <c r="AC44" s="217"/>
      <c r="AD44" s="217"/>
      <c r="AE44" s="355"/>
      <c r="AF44" s="217"/>
      <c r="AG44" s="217"/>
      <c r="AH44" s="217"/>
      <c r="AI44" s="217"/>
      <c r="AJ44" s="217"/>
      <c r="AK44" s="217"/>
      <c r="AL44" s="217"/>
      <c r="AM44" s="217"/>
      <c r="AN44" s="217"/>
      <c r="AO44" s="217"/>
      <c r="AP44" s="217"/>
      <c r="AQ44" s="217"/>
      <c r="AR44" s="217"/>
      <c r="AS44" s="217"/>
      <c r="AT44" s="355"/>
      <c r="AU44" s="217"/>
      <c r="AV44" s="217"/>
      <c r="AW44" s="217"/>
      <c r="AX44" s="217"/>
      <c r="AY44" s="217"/>
      <c r="AZ44" s="217"/>
      <c r="BA44" s="217"/>
      <c r="BB44" s="217"/>
      <c r="BC44" s="217"/>
      <c r="BD44" s="217"/>
      <c r="BE44" s="217"/>
      <c r="BF44" s="217"/>
      <c r="BG44" s="217"/>
      <c r="BH44" s="217"/>
    </row>
    <row r="45" spans="1:60">
      <c r="A45" s="254">
        <v>35</v>
      </c>
      <c r="B45" s="242"/>
      <c r="C45" s="243"/>
      <c r="D45" s="243"/>
      <c r="E45" s="357"/>
      <c r="F45" s="217"/>
      <c r="G45" s="217"/>
      <c r="H45" s="217"/>
      <c r="I45" s="217"/>
      <c r="J45" s="217"/>
      <c r="K45" s="217"/>
      <c r="L45" s="217"/>
      <c r="M45" s="217"/>
      <c r="N45" s="217"/>
      <c r="O45" s="217"/>
      <c r="P45" s="355"/>
      <c r="Q45" s="217"/>
      <c r="R45" s="217"/>
      <c r="S45" s="217"/>
      <c r="T45" s="217"/>
      <c r="U45" s="217"/>
      <c r="V45" s="217"/>
      <c r="W45" s="217"/>
      <c r="X45" s="217"/>
      <c r="Y45" s="217"/>
      <c r="Z45" s="217"/>
      <c r="AA45" s="217"/>
      <c r="AB45" s="217"/>
      <c r="AC45" s="217"/>
      <c r="AD45" s="217"/>
      <c r="AE45" s="355"/>
      <c r="AF45" s="217"/>
      <c r="AG45" s="217"/>
      <c r="AH45" s="217"/>
      <c r="AI45" s="217"/>
      <c r="AJ45" s="217"/>
      <c r="AK45" s="217"/>
      <c r="AL45" s="217"/>
      <c r="AM45" s="217"/>
      <c r="AN45" s="217"/>
      <c r="AO45" s="217"/>
      <c r="AP45" s="217"/>
      <c r="AQ45" s="217"/>
      <c r="AR45" s="217"/>
      <c r="AS45" s="217"/>
      <c r="AT45" s="355"/>
      <c r="AU45" s="217"/>
      <c r="AV45" s="217"/>
      <c r="AW45" s="217"/>
      <c r="AX45" s="217"/>
      <c r="AY45" s="217"/>
      <c r="AZ45" s="217"/>
      <c r="BA45" s="217"/>
      <c r="BB45" s="217"/>
      <c r="BC45" s="217"/>
      <c r="BD45" s="217"/>
      <c r="BE45" s="217"/>
      <c r="BF45" s="217"/>
      <c r="BG45" s="217"/>
      <c r="BH45" s="217"/>
    </row>
    <row r="46" spans="1:60">
      <c r="A46" s="254">
        <v>36</v>
      </c>
      <c r="B46" s="242"/>
      <c r="C46" s="243"/>
      <c r="D46" s="243"/>
      <c r="E46" s="357"/>
      <c r="F46" s="217"/>
      <c r="G46" s="217"/>
      <c r="H46" s="217"/>
      <c r="I46" s="217"/>
      <c r="J46" s="217"/>
      <c r="K46" s="217"/>
      <c r="L46" s="217"/>
      <c r="M46" s="217"/>
      <c r="N46" s="217"/>
      <c r="O46" s="217"/>
      <c r="P46" s="355"/>
      <c r="Q46" s="217"/>
      <c r="R46" s="217"/>
      <c r="S46" s="217"/>
      <c r="T46" s="217"/>
      <c r="U46" s="217"/>
      <c r="V46" s="217"/>
      <c r="W46" s="217"/>
      <c r="X46" s="217"/>
      <c r="Y46" s="217"/>
      <c r="Z46" s="217"/>
      <c r="AA46" s="217"/>
      <c r="AB46" s="217"/>
      <c r="AC46" s="217"/>
      <c r="AD46" s="217"/>
      <c r="AE46" s="355"/>
      <c r="AF46" s="217"/>
      <c r="AG46" s="217"/>
      <c r="AH46" s="217"/>
      <c r="AI46" s="217"/>
      <c r="AJ46" s="217"/>
      <c r="AK46" s="217"/>
      <c r="AL46" s="217"/>
      <c r="AM46" s="217"/>
      <c r="AN46" s="217"/>
      <c r="AO46" s="217"/>
      <c r="AP46" s="217"/>
      <c r="AQ46" s="217"/>
      <c r="AR46" s="217"/>
      <c r="AS46" s="217"/>
      <c r="AT46" s="355"/>
      <c r="AU46" s="217"/>
      <c r="AV46" s="217"/>
      <c r="AW46" s="217"/>
      <c r="AX46" s="217"/>
      <c r="AY46" s="217"/>
      <c r="AZ46" s="217"/>
      <c r="BA46" s="217"/>
      <c r="BB46" s="217"/>
      <c r="BC46" s="217"/>
      <c r="BD46" s="217"/>
      <c r="BE46" s="217"/>
      <c r="BF46" s="217"/>
      <c r="BG46" s="217"/>
      <c r="BH46" s="217"/>
    </row>
    <row r="47" spans="1:60">
      <c r="A47" s="254">
        <v>37</v>
      </c>
      <c r="B47" s="242"/>
      <c r="C47" s="243"/>
      <c r="D47" s="243"/>
      <c r="E47" s="357"/>
      <c r="F47" s="217"/>
      <c r="G47" s="217"/>
      <c r="H47" s="217"/>
      <c r="I47" s="217"/>
      <c r="J47" s="217"/>
      <c r="K47" s="217"/>
      <c r="L47" s="217"/>
      <c r="M47" s="217"/>
      <c r="N47" s="217"/>
      <c r="O47" s="217"/>
      <c r="P47" s="355"/>
      <c r="Q47" s="217"/>
      <c r="R47" s="217"/>
      <c r="S47" s="217"/>
      <c r="T47" s="217"/>
      <c r="U47" s="217"/>
      <c r="V47" s="217"/>
      <c r="W47" s="217"/>
      <c r="X47" s="217"/>
      <c r="Y47" s="217"/>
      <c r="Z47" s="217"/>
      <c r="AA47" s="217"/>
      <c r="AB47" s="217"/>
      <c r="AC47" s="217"/>
      <c r="AD47" s="217"/>
      <c r="AE47" s="355"/>
      <c r="AF47" s="217"/>
      <c r="AG47" s="217"/>
      <c r="AH47" s="217"/>
      <c r="AI47" s="217"/>
      <c r="AJ47" s="217"/>
      <c r="AK47" s="217"/>
      <c r="AL47" s="217"/>
      <c r="AM47" s="217"/>
      <c r="AN47" s="217"/>
      <c r="AO47" s="217"/>
      <c r="AP47" s="217"/>
      <c r="AQ47" s="217"/>
      <c r="AR47" s="217"/>
      <c r="AS47" s="217"/>
      <c r="AT47" s="355"/>
      <c r="AU47" s="217"/>
      <c r="AV47" s="217"/>
      <c r="AW47" s="217"/>
      <c r="AX47" s="217"/>
      <c r="AY47" s="217"/>
      <c r="AZ47" s="217"/>
      <c r="BA47" s="217"/>
      <c r="BB47" s="217"/>
      <c r="BC47" s="217"/>
      <c r="BD47" s="217"/>
      <c r="BE47" s="217"/>
      <c r="BF47" s="217"/>
      <c r="BG47" s="217"/>
      <c r="BH47" s="217"/>
    </row>
    <row r="48" spans="1:60">
      <c r="A48" s="254">
        <v>38</v>
      </c>
      <c r="B48" s="242"/>
      <c r="C48" s="243"/>
      <c r="D48" s="243"/>
      <c r="E48" s="357"/>
      <c r="F48" s="217"/>
      <c r="G48" s="217"/>
      <c r="H48" s="217"/>
      <c r="I48" s="217"/>
      <c r="J48" s="217"/>
      <c r="K48" s="217"/>
      <c r="L48" s="217"/>
      <c r="M48" s="217"/>
      <c r="N48" s="217"/>
      <c r="O48" s="217"/>
      <c r="P48" s="355"/>
      <c r="Q48" s="217"/>
      <c r="R48" s="217"/>
      <c r="S48" s="217"/>
      <c r="T48" s="217"/>
      <c r="U48" s="217"/>
      <c r="V48" s="217"/>
      <c r="W48" s="217"/>
      <c r="X48" s="217"/>
      <c r="Y48" s="217"/>
      <c r="Z48" s="217"/>
      <c r="AA48" s="217"/>
      <c r="AB48" s="217"/>
      <c r="AC48" s="217"/>
      <c r="AD48" s="217"/>
      <c r="AE48" s="355"/>
      <c r="AF48" s="217"/>
      <c r="AG48" s="217"/>
      <c r="AH48" s="217"/>
      <c r="AI48" s="217"/>
      <c r="AJ48" s="217"/>
      <c r="AK48" s="217"/>
      <c r="AL48" s="217"/>
      <c r="AM48" s="217"/>
      <c r="AN48" s="217"/>
      <c r="AO48" s="217"/>
      <c r="AP48" s="217"/>
      <c r="AQ48" s="217"/>
      <c r="AR48" s="217"/>
      <c r="AS48" s="217"/>
      <c r="AT48" s="355"/>
      <c r="AU48" s="217"/>
      <c r="AV48" s="217"/>
      <c r="AW48" s="217"/>
      <c r="AX48" s="217"/>
      <c r="AY48" s="217"/>
      <c r="AZ48" s="217"/>
      <c r="BA48" s="217"/>
      <c r="BB48" s="217"/>
      <c r="BC48" s="217"/>
      <c r="BD48" s="217"/>
      <c r="BE48" s="217"/>
      <c r="BF48" s="217"/>
      <c r="BG48" s="217"/>
      <c r="BH48" s="217"/>
    </row>
    <row r="49" spans="1:60">
      <c r="A49" s="254">
        <v>39</v>
      </c>
      <c r="B49" s="242"/>
      <c r="C49" s="243"/>
      <c r="D49" s="243"/>
      <c r="E49" s="357"/>
      <c r="F49" s="217"/>
      <c r="G49" s="217"/>
      <c r="H49" s="217"/>
      <c r="I49" s="217"/>
      <c r="J49" s="217"/>
      <c r="K49" s="217"/>
      <c r="L49" s="217"/>
      <c r="M49" s="217"/>
      <c r="N49" s="217"/>
      <c r="O49" s="217"/>
      <c r="P49" s="355"/>
      <c r="Q49" s="217"/>
      <c r="R49" s="217"/>
      <c r="S49" s="217"/>
      <c r="T49" s="217"/>
      <c r="U49" s="217"/>
      <c r="V49" s="217"/>
      <c r="W49" s="217"/>
      <c r="X49" s="217"/>
      <c r="Y49" s="217"/>
      <c r="Z49" s="217"/>
      <c r="AA49" s="217"/>
      <c r="AB49" s="217"/>
      <c r="AC49" s="217"/>
      <c r="AD49" s="217"/>
      <c r="AE49" s="355"/>
      <c r="AF49" s="217"/>
      <c r="AG49" s="217"/>
      <c r="AH49" s="217"/>
      <c r="AI49" s="217"/>
      <c r="AJ49" s="217"/>
      <c r="AK49" s="217"/>
      <c r="AL49" s="217"/>
      <c r="AM49" s="217"/>
      <c r="AN49" s="217"/>
      <c r="AO49" s="217"/>
      <c r="AP49" s="217"/>
      <c r="AQ49" s="217"/>
      <c r="AR49" s="217"/>
      <c r="AS49" s="217"/>
      <c r="AT49" s="355"/>
      <c r="AU49" s="217"/>
      <c r="AV49" s="217"/>
      <c r="AW49" s="217"/>
      <c r="AX49" s="217"/>
      <c r="AY49" s="217"/>
      <c r="AZ49" s="217"/>
      <c r="BA49" s="217"/>
      <c r="BB49" s="217"/>
      <c r="BC49" s="217"/>
      <c r="BD49" s="217"/>
      <c r="BE49" s="217"/>
      <c r="BF49" s="217"/>
      <c r="BG49" s="217"/>
      <c r="BH49" s="217"/>
    </row>
    <row r="50" spans="1:60">
      <c r="A50" s="254">
        <v>40</v>
      </c>
      <c r="B50" s="242"/>
      <c r="C50" s="243"/>
      <c r="D50" s="243"/>
      <c r="E50" s="357"/>
      <c r="F50" s="217"/>
      <c r="G50" s="217"/>
      <c r="H50" s="217"/>
      <c r="I50" s="217"/>
      <c r="J50" s="217"/>
      <c r="K50" s="217"/>
      <c r="L50" s="217"/>
      <c r="M50" s="217"/>
      <c r="N50" s="217"/>
      <c r="O50" s="217"/>
      <c r="P50" s="355"/>
      <c r="Q50" s="217"/>
      <c r="R50" s="217"/>
      <c r="S50" s="217"/>
      <c r="T50" s="217"/>
      <c r="U50" s="217"/>
      <c r="V50" s="217"/>
      <c r="W50" s="217"/>
      <c r="X50" s="217"/>
      <c r="Y50" s="217"/>
      <c r="Z50" s="217"/>
      <c r="AA50" s="217"/>
      <c r="AB50" s="217"/>
      <c r="AC50" s="217"/>
      <c r="AD50" s="217"/>
      <c r="AE50" s="355"/>
      <c r="AF50" s="217"/>
      <c r="AG50" s="217"/>
      <c r="AH50" s="217"/>
      <c r="AI50" s="217"/>
      <c r="AJ50" s="217"/>
      <c r="AK50" s="217"/>
      <c r="AL50" s="217"/>
      <c r="AM50" s="217"/>
      <c r="AN50" s="217"/>
      <c r="AO50" s="217"/>
      <c r="AP50" s="217"/>
      <c r="AQ50" s="217"/>
      <c r="AR50" s="217"/>
      <c r="AS50" s="217"/>
      <c r="AT50" s="355"/>
      <c r="AU50" s="217"/>
      <c r="AV50" s="217"/>
      <c r="AW50" s="217"/>
      <c r="AX50" s="217"/>
      <c r="AY50" s="217"/>
      <c r="AZ50" s="217"/>
      <c r="BA50" s="217"/>
      <c r="BB50" s="217"/>
      <c r="BC50" s="217"/>
      <c r="BD50" s="217"/>
      <c r="BE50" s="217"/>
      <c r="BF50" s="217"/>
      <c r="BG50" s="217"/>
      <c r="BH50" s="217"/>
    </row>
    <row r="51" spans="1:60">
      <c r="A51" s="254">
        <v>41</v>
      </c>
      <c r="B51" s="242"/>
      <c r="C51" s="243"/>
      <c r="D51" s="243"/>
      <c r="E51" s="357"/>
      <c r="F51" s="217"/>
      <c r="G51" s="217"/>
      <c r="H51" s="217"/>
      <c r="I51" s="217"/>
      <c r="J51" s="217"/>
      <c r="K51" s="217"/>
      <c r="L51" s="217"/>
      <c r="M51" s="217"/>
      <c r="N51" s="217"/>
      <c r="O51" s="217"/>
      <c r="P51" s="355"/>
      <c r="Q51" s="217"/>
      <c r="R51" s="217"/>
      <c r="S51" s="217"/>
      <c r="T51" s="217"/>
      <c r="U51" s="217"/>
      <c r="V51" s="217"/>
      <c r="W51" s="217"/>
      <c r="X51" s="217"/>
      <c r="Y51" s="217"/>
      <c r="Z51" s="217"/>
      <c r="AA51" s="217"/>
      <c r="AB51" s="217"/>
      <c r="AC51" s="217"/>
      <c r="AD51" s="217"/>
      <c r="AE51" s="355"/>
      <c r="AF51" s="217"/>
      <c r="AG51" s="217"/>
      <c r="AH51" s="217"/>
      <c r="AI51" s="217"/>
      <c r="AJ51" s="217"/>
      <c r="AK51" s="217"/>
      <c r="AL51" s="217"/>
      <c r="AM51" s="217"/>
      <c r="AN51" s="217"/>
      <c r="AO51" s="217"/>
      <c r="AP51" s="217"/>
      <c r="AQ51" s="217"/>
      <c r="AR51" s="217"/>
      <c r="AS51" s="217"/>
      <c r="AT51" s="355"/>
      <c r="AU51" s="217"/>
      <c r="AV51" s="217"/>
      <c r="AW51" s="217"/>
      <c r="AX51" s="217"/>
      <c r="AY51" s="217"/>
      <c r="AZ51" s="217"/>
      <c r="BA51" s="217"/>
      <c r="BB51" s="217"/>
      <c r="BC51" s="217"/>
      <c r="BD51" s="217"/>
      <c r="BE51" s="217"/>
      <c r="BF51" s="217"/>
      <c r="BG51" s="217"/>
      <c r="BH51" s="217"/>
    </row>
    <row r="52" spans="1:60">
      <c r="A52" s="254">
        <v>42</v>
      </c>
      <c r="B52" s="242"/>
      <c r="C52" s="243"/>
      <c r="D52" s="243"/>
      <c r="E52" s="357"/>
      <c r="F52" s="217"/>
      <c r="G52" s="217"/>
      <c r="H52" s="217"/>
      <c r="I52" s="217"/>
      <c r="J52" s="217"/>
      <c r="K52" s="217"/>
      <c r="L52" s="217"/>
      <c r="M52" s="217"/>
      <c r="N52" s="217"/>
      <c r="O52" s="217"/>
      <c r="P52" s="355"/>
      <c r="Q52" s="217"/>
      <c r="R52" s="217"/>
      <c r="S52" s="217"/>
      <c r="T52" s="217"/>
      <c r="U52" s="217"/>
      <c r="V52" s="217"/>
      <c r="W52" s="217"/>
      <c r="X52" s="217"/>
      <c r="Y52" s="217"/>
      <c r="Z52" s="217"/>
      <c r="AA52" s="217"/>
      <c r="AB52" s="217"/>
      <c r="AC52" s="217"/>
      <c r="AD52" s="217"/>
      <c r="AE52" s="355"/>
      <c r="AF52" s="217"/>
      <c r="AG52" s="217"/>
      <c r="AH52" s="217"/>
      <c r="AI52" s="217"/>
      <c r="AJ52" s="217"/>
      <c r="AK52" s="217"/>
      <c r="AL52" s="217"/>
      <c r="AM52" s="217"/>
      <c r="AN52" s="217"/>
      <c r="AO52" s="217"/>
      <c r="AP52" s="217"/>
      <c r="AQ52" s="217"/>
      <c r="AR52" s="217"/>
      <c r="AS52" s="217"/>
      <c r="AT52" s="355"/>
      <c r="AU52" s="217"/>
      <c r="AV52" s="217"/>
      <c r="AW52" s="217"/>
      <c r="AX52" s="217"/>
      <c r="AY52" s="217"/>
      <c r="AZ52" s="217"/>
      <c r="BA52" s="217"/>
      <c r="BB52" s="217"/>
      <c r="BC52" s="217"/>
      <c r="BD52" s="217"/>
      <c r="BE52" s="217"/>
      <c r="BF52" s="217"/>
      <c r="BG52" s="217"/>
      <c r="BH52" s="217"/>
    </row>
    <row r="53" spans="1:60">
      <c r="A53" s="254">
        <v>43</v>
      </c>
      <c r="B53" s="242"/>
      <c r="C53" s="243"/>
      <c r="D53" s="243"/>
      <c r="E53" s="357"/>
      <c r="F53" s="217"/>
      <c r="G53" s="217"/>
      <c r="H53" s="217"/>
      <c r="I53" s="217"/>
      <c r="J53" s="217"/>
      <c r="K53" s="217"/>
      <c r="L53" s="217"/>
      <c r="M53" s="217"/>
      <c r="N53" s="217"/>
      <c r="O53" s="217"/>
      <c r="P53" s="355"/>
      <c r="Q53" s="217"/>
      <c r="R53" s="217"/>
      <c r="S53" s="217"/>
      <c r="T53" s="217"/>
      <c r="U53" s="217"/>
      <c r="V53" s="217"/>
      <c r="W53" s="217"/>
      <c r="X53" s="217"/>
      <c r="Y53" s="217"/>
      <c r="Z53" s="217"/>
      <c r="AA53" s="217"/>
      <c r="AB53" s="217"/>
      <c r="AC53" s="217"/>
      <c r="AD53" s="217"/>
      <c r="AE53" s="355"/>
      <c r="AF53" s="217"/>
      <c r="AG53" s="217"/>
      <c r="AH53" s="217"/>
      <c r="AI53" s="217"/>
      <c r="AJ53" s="217"/>
      <c r="AK53" s="217"/>
      <c r="AL53" s="217"/>
      <c r="AM53" s="217"/>
      <c r="AN53" s="217"/>
      <c r="AO53" s="217"/>
      <c r="AP53" s="217"/>
      <c r="AQ53" s="217"/>
      <c r="AR53" s="217"/>
      <c r="AS53" s="217"/>
      <c r="AT53" s="355"/>
      <c r="AU53" s="217"/>
      <c r="AV53" s="217"/>
      <c r="AW53" s="217"/>
      <c r="AX53" s="217"/>
      <c r="AY53" s="217"/>
      <c r="AZ53" s="217"/>
      <c r="BA53" s="217"/>
      <c r="BB53" s="217"/>
      <c r="BC53" s="217"/>
      <c r="BD53" s="217"/>
      <c r="BE53" s="217"/>
      <c r="BF53" s="217"/>
      <c r="BG53" s="217"/>
      <c r="BH53" s="217"/>
    </row>
    <row r="54" spans="1:60">
      <c r="A54" s="254">
        <v>44</v>
      </c>
      <c r="B54" s="242"/>
      <c r="C54" s="243"/>
      <c r="D54" s="243"/>
      <c r="E54" s="357"/>
      <c r="F54" s="217"/>
      <c r="G54" s="217"/>
      <c r="H54" s="217"/>
      <c r="I54" s="217"/>
      <c r="J54" s="217"/>
      <c r="K54" s="217"/>
      <c r="L54" s="217"/>
      <c r="M54" s="217"/>
      <c r="N54" s="217"/>
      <c r="O54" s="217"/>
      <c r="P54" s="355"/>
      <c r="Q54" s="217"/>
      <c r="R54" s="217"/>
      <c r="S54" s="217"/>
      <c r="T54" s="217"/>
      <c r="U54" s="217"/>
      <c r="V54" s="217"/>
      <c r="W54" s="217"/>
      <c r="X54" s="217"/>
      <c r="Y54" s="217"/>
      <c r="Z54" s="217"/>
      <c r="AA54" s="217"/>
      <c r="AB54" s="217"/>
      <c r="AC54" s="217"/>
      <c r="AD54" s="217"/>
      <c r="AE54" s="355"/>
      <c r="AF54" s="217"/>
      <c r="AG54" s="217"/>
      <c r="AH54" s="217"/>
      <c r="AI54" s="217"/>
      <c r="AJ54" s="217"/>
      <c r="AK54" s="217"/>
      <c r="AL54" s="217"/>
      <c r="AM54" s="217"/>
      <c r="AN54" s="217"/>
      <c r="AO54" s="217"/>
      <c r="AP54" s="217"/>
      <c r="AQ54" s="217"/>
      <c r="AR54" s="217"/>
      <c r="AS54" s="217"/>
      <c r="AT54" s="355"/>
      <c r="AU54" s="217"/>
      <c r="AV54" s="217"/>
      <c r="AW54" s="217"/>
      <c r="AX54" s="217"/>
      <c r="AY54" s="217"/>
      <c r="AZ54" s="217"/>
      <c r="BA54" s="217"/>
      <c r="BB54" s="217"/>
      <c r="BC54" s="217"/>
      <c r="BD54" s="217"/>
      <c r="BE54" s="217"/>
      <c r="BF54" s="217"/>
      <c r="BG54" s="217"/>
      <c r="BH54" s="217"/>
    </row>
    <row r="55" spans="1:60">
      <c r="A55" s="254">
        <v>45</v>
      </c>
      <c r="B55" s="242"/>
      <c r="C55" s="243"/>
      <c r="D55" s="243"/>
      <c r="E55" s="357"/>
      <c r="F55" s="217"/>
      <c r="G55" s="217"/>
      <c r="H55" s="217"/>
      <c r="I55" s="217"/>
      <c r="J55" s="217"/>
      <c r="K55" s="217"/>
      <c r="L55" s="217"/>
      <c r="M55" s="217"/>
      <c r="N55" s="217"/>
      <c r="O55" s="217"/>
      <c r="P55" s="355"/>
      <c r="Q55" s="217"/>
      <c r="R55" s="217"/>
      <c r="S55" s="217"/>
      <c r="T55" s="217"/>
      <c r="U55" s="217"/>
      <c r="V55" s="217"/>
      <c r="W55" s="217"/>
      <c r="X55" s="217"/>
      <c r="Y55" s="217"/>
      <c r="Z55" s="217"/>
      <c r="AA55" s="217"/>
      <c r="AB55" s="217"/>
      <c r="AC55" s="217"/>
      <c r="AD55" s="217"/>
      <c r="AE55" s="355"/>
      <c r="AF55" s="217"/>
      <c r="AG55" s="217"/>
      <c r="AH55" s="217"/>
      <c r="AI55" s="217"/>
      <c r="AJ55" s="217"/>
      <c r="AK55" s="217"/>
      <c r="AL55" s="217"/>
      <c r="AM55" s="217"/>
      <c r="AN55" s="217"/>
      <c r="AO55" s="217"/>
      <c r="AP55" s="217"/>
      <c r="AQ55" s="217"/>
      <c r="AR55" s="217"/>
      <c r="AS55" s="217"/>
      <c r="AT55" s="355"/>
      <c r="AU55" s="217"/>
      <c r="AV55" s="217"/>
      <c r="AW55" s="217"/>
      <c r="AX55" s="217"/>
      <c r="AY55" s="217"/>
      <c r="AZ55" s="217"/>
      <c r="BA55" s="217"/>
      <c r="BB55" s="217"/>
      <c r="BC55" s="217"/>
      <c r="BD55" s="217"/>
      <c r="BE55" s="217"/>
      <c r="BF55" s="217"/>
      <c r="BG55" s="217"/>
      <c r="BH55" s="217"/>
    </row>
    <row r="56" spans="1:60">
      <c r="A56" s="254">
        <v>46</v>
      </c>
      <c r="B56" s="242"/>
      <c r="C56" s="243"/>
      <c r="D56" s="243"/>
      <c r="E56" s="357"/>
      <c r="F56" s="217"/>
      <c r="G56" s="217"/>
      <c r="H56" s="217"/>
      <c r="I56" s="217"/>
      <c r="J56" s="217"/>
      <c r="K56" s="217"/>
      <c r="L56" s="217"/>
      <c r="M56" s="217"/>
      <c r="N56" s="217"/>
      <c r="O56" s="217"/>
      <c r="P56" s="355"/>
      <c r="Q56" s="217"/>
      <c r="R56" s="217"/>
      <c r="S56" s="217"/>
      <c r="T56" s="217"/>
      <c r="U56" s="217"/>
      <c r="V56" s="217"/>
      <c r="W56" s="217"/>
      <c r="X56" s="217"/>
      <c r="Y56" s="217"/>
      <c r="Z56" s="217"/>
      <c r="AA56" s="217"/>
      <c r="AB56" s="217"/>
      <c r="AC56" s="217"/>
      <c r="AD56" s="217"/>
      <c r="AE56" s="355"/>
      <c r="AF56" s="217"/>
      <c r="AG56" s="217"/>
      <c r="AH56" s="217"/>
      <c r="AI56" s="217"/>
      <c r="AJ56" s="217"/>
      <c r="AK56" s="217"/>
      <c r="AL56" s="217"/>
      <c r="AM56" s="217"/>
      <c r="AN56" s="217"/>
      <c r="AO56" s="217"/>
      <c r="AP56" s="217"/>
      <c r="AQ56" s="217"/>
      <c r="AR56" s="217"/>
      <c r="AS56" s="217"/>
      <c r="AT56" s="355"/>
      <c r="AU56" s="217"/>
      <c r="AV56" s="217"/>
      <c r="AW56" s="217"/>
      <c r="AX56" s="217"/>
      <c r="AY56" s="217"/>
      <c r="AZ56" s="217"/>
      <c r="BA56" s="217"/>
      <c r="BB56" s="217"/>
      <c r="BC56" s="217"/>
      <c r="BD56" s="217"/>
      <c r="BE56" s="217"/>
      <c r="BF56" s="217"/>
      <c r="BG56" s="217"/>
      <c r="BH56" s="217"/>
    </row>
    <row r="57" spans="1:60">
      <c r="A57" s="254">
        <v>47</v>
      </c>
      <c r="B57" s="242"/>
      <c r="C57" s="243"/>
      <c r="D57" s="243"/>
      <c r="E57" s="357"/>
      <c r="F57" s="217"/>
      <c r="G57" s="217"/>
      <c r="H57" s="217"/>
      <c r="I57" s="217"/>
      <c r="J57" s="217"/>
      <c r="K57" s="217"/>
      <c r="L57" s="217"/>
      <c r="M57" s="217"/>
      <c r="N57" s="217"/>
      <c r="O57" s="217"/>
      <c r="P57" s="355"/>
      <c r="Q57" s="217"/>
      <c r="R57" s="217"/>
      <c r="S57" s="217"/>
      <c r="T57" s="217"/>
      <c r="U57" s="217"/>
      <c r="V57" s="217"/>
      <c r="W57" s="217"/>
      <c r="X57" s="217"/>
      <c r="Y57" s="217"/>
      <c r="Z57" s="217"/>
      <c r="AA57" s="217"/>
      <c r="AB57" s="217"/>
      <c r="AC57" s="217"/>
      <c r="AD57" s="217"/>
      <c r="AE57" s="355"/>
      <c r="AF57" s="217"/>
      <c r="AG57" s="217"/>
      <c r="AH57" s="217"/>
      <c r="AI57" s="217"/>
      <c r="AJ57" s="217"/>
      <c r="AK57" s="217"/>
      <c r="AL57" s="217"/>
      <c r="AM57" s="217"/>
      <c r="AN57" s="217"/>
      <c r="AO57" s="217"/>
      <c r="AP57" s="217"/>
      <c r="AQ57" s="217"/>
      <c r="AR57" s="217"/>
      <c r="AS57" s="217"/>
      <c r="AT57" s="355"/>
      <c r="AU57" s="217"/>
      <c r="AV57" s="217"/>
      <c r="AW57" s="217"/>
      <c r="AX57" s="217"/>
      <c r="AY57" s="217"/>
      <c r="AZ57" s="217"/>
      <c r="BA57" s="217"/>
      <c r="BB57" s="217"/>
      <c r="BC57" s="217"/>
      <c r="BD57" s="217"/>
      <c r="BE57" s="217"/>
      <c r="BF57" s="217"/>
      <c r="BG57" s="217"/>
      <c r="BH57" s="217"/>
    </row>
    <row r="58" spans="1:60">
      <c r="A58" s="254">
        <v>48</v>
      </c>
      <c r="B58" s="242"/>
      <c r="C58" s="243"/>
      <c r="D58" s="243"/>
      <c r="E58" s="357"/>
      <c r="F58" s="217"/>
      <c r="G58" s="217"/>
      <c r="H58" s="217"/>
      <c r="I58" s="217"/>
      <c r="J58" s="217"/>
      <c r="K58" s="217"/>
      <c r="L58" s="217"/>
      <c r="M58" s="217"/>
      <c r="N58" s="217"/>
      <c r="O58" s="217"/>
      <c r="P58" s="355"/>
      <c r="Q58" s="217"/>
      <c r="R58" s="217"/>
      <c r="S58" s="217"/>
      <c r="T58" s="217"/>
      <c r="U58" s="217"/>
      <c r="V58" s="217"/>
      <c r="W58" s="217"/>
      <c r="X58" s="217"/>
      <c r="Y58" s="217"/>
      <c r="Z58" s="217"/>
      <c r="AA58" s="217"/>
      <c r="AB58" s="217"/>
      <c r="AC58" s="217"/>
      <c r="AD58" s="217"/>
      <c r="AE58" s="355"/>
      <c r="AF58" s="217"/>
      <c r="AG58" s="217"/>
      <c r="AH58" s="217"/>
      <c r="AI58" s="217"/>
      <c r="AJ58" s="217"/>
      <c r="AK58" s="217"/>
      <c r="AL58" s="217"/>
      <c r="AM58" s="217"/>
      <c r="AN58" s="217"/>
      <c r="AO58" s="217"/>
      <c r="AP58" s="217"/>
      <c r="AQ58" s="217"/>
      <c r="AR58" s="217"/>
      <c r="AS58" s="217"/>
      <c r="AT58" s="355"/>
      <c r="AU58" s="217"/>
      <c r="AV58" s="217"/>
      <c r="AW58" s="217"/>
      <c r="AX58" s="217"/>
      <c r="AY58" s="217"/>
      <c r="AZ58" s="217"/>
      <c r="BA58" s="217"/>
      <c r="BB58" s="217"/>
      <c r="BC58" s="217"/>
      <c r="BD58" s="217"/>
      <c r="BE58" s="217"/>
      <c r="BF58" s="217"/>
      <c r="BG58" s="217"/>
      <c r="BH58" s="217"/>
    </row>
    <row r="59" spans="1:60">
      <c r="A59" s="254">
        <v>49</v>
      </c>
      <c r="B59" s="242"/>
      <c r="C59" s="243"/>
      <c r="D59" s="243"/>
      <c r="E59" s="357"/>
      <c r="F59" s="217"/>
      <c r="G59" s="217"/>
      <c r="H59" s="217"/>
      <c r="I59" s="217"/>
      <c r="J59" s="217"/>
      <c r="K59" s="217"/>
      <c r="L59" s="217"/>
      <c r="M59" s="217"/>
      <c r="N59" s="217"/>
      <c r="O59" s="217"/>
      <c r="P59" s="355"/>
      <c r="Q59" s="217"/>
      <c r="R59" s="217"/>
      <c r="S59" s="217"/>
      <c r="T59" s="217"/>
      <c r="U59" s="217"/>
      <c r="V59" s="217"/>
      <c r="W59" s="217"/>
      <c r="X59" s="217"/>
      <c r="Y59" s="217"/>
      <c r="Z59" s="217"/>
      <c r="AA59" s="217"/>
      <c r="AB59" s="217"/>
      <c r="AC59" s="217"/>
      <c r="AD59" s="217"/>
      <c r="AE59" s="355"/>
      <c r="AF59" s="217"/>
      <c r="AG59" s="217"/>
      <c r="AH59" s="217"/>
      <c r="AI59" s="217"/>
      <c r="AJ59" s="217"/>
      <c r="AK59" s="217"/>
      <c r="AL59" s="217"/>
      <c r="AM59" s="217"/>
      <c r="AN59" s="217"/>
      <c r="AO59" s="217"/>
      <c r="AP59" s="217"/>
      <c r="AQ59" s="217"/>
      <c r="AR59" s="217"/>
      <c r="AS59" s="217"/>
      <c r="AT59" s="355"/>
      <c r="AU59" s="217"/>
      <c r="AV59" s="217"/>
      <c r="AW59" s="217"/>
      <c r="AX59" s="217"/>
      <c r="AY59" s="217"/>
      <c r="AZ59" s="217"/>
      <c r="BA59" s="217"/>
      <c r="BB59" s="217"/>
      <c r="BC59" s="217"/>
      <c r="BD59" s="217"/>
      <c r="BE59" s="217"/>
      <c r="BF59" s="217"/>
      <c r="BG59" s="217"/>
      <c r="BH59" s="217"/>
    </row>
    <row r="60" spans="1:60">
      <c r="A60" s="254">
        <v>50</v>
      </c>
      <c r="B60" s="242"/>
      <c r="C60" s="243"/>
      <c r="D60" s="243"/>
      <c r="E60" s="357"/>
      <c r="F60" s="217"/>
      <c r="G60" s="217"/>
      <c r="H60" s="217"/>
      <c r="I60" s="217"/>
      <c r="J60" s="217"/>
      <c r="K60" s="217"/>
      <c r="L60" s="217"/>
      <c r="M60" s="217"/>
      <c r="N60" s="217"/>
      <c r="O60" s="217"/>
      <c r="P60" s="355"/>
      <c r="Q60" s="217"/>
      <c r="R60" s="217"/>
      <c r="S60" s="217"/>
      <c r="T60" s="217"/>
      <c r="U60" s="217"/>
      <c r="V60" s="217"/>
      <c r="W60" s="217"/>
      <c r="X60" s="217"/>
      <c r="Y60" s="217"/>
      <c r="Z60" s="217"/>
      <c r="AA60" s="217"/>
      <c r="AB60" s="217"/>
      <c r="AC60" s="217"/>
      <c r="AD60" s="217"/>
      <c r="AE60" s="355"/>
      <c r="AF60" s="217"/>
      <c r="AG60" s="217"/>
      <c r="AH60" s="217"/>
      <c r="AI60" s="217"/>
      <c r="AJ60" s="217"/>
      <c r="AK60" s="217"/>
      <c r="AL60" s="217"/>
      <c r="AM60" s="217"/>
      <c r="AN60" s="217"/>
      <c r="AO60" s="217"/>
      <c r="AP60" s="217"/>
      <c r="AQ60" s="217"/>
      <c r="AR60" s="217"/>
      <c r="AS60" s="217"/>
      <c r="AT60" s="355"/>
      <c r="AU60" s="217"/>
      <c r="AV60" s="217"/>
      <c r="AW60" s="217"/>
      <c r="AX60" s="217"/>
      <c r="AY60" s="217"/>
      <c r="AZ60" s="217"/>
      <c r="BA60" s="217"/>
      <c r="BB60" s="217"/>
      <c r="BC60" s="217"/>
      <c r="BD60" s="217"/>
      <c r="BE60" s="217"/>
      <c r="BF60" s="217"/>
      <c r="BG60" s="217"/>
      <c r="BH60" s="217"/>
    </row>
    <row r="61" spans="1:60">
      <c r="A61" s="254">
        <v>51</v>
      </c>
      <c r="B61" s="242"/>
      <c r="C61" s="243"/>
      <c r="D61" s="243"/>
      <c r="E61" s="357"/>
      <c r="F61" s="217"/>
      <c r="G61" s="217"/>
      <c r="H61" s="217"/>
      <c r="I61" s="217"/>
      <c r="J61" s="217"/>
      <c r="K61" s="217"/>
      <c r="L61" s="217"/>
      <c r="M61" s="217"/>
      <c r="N61" s="217"/>
      <c r="O61" s="217"/>
      <c r="P61" s="355"/>
      <c r="Q61" s="217"/>
      <c r="R61" s="217"/>
      <c r="S61" s="217"/>
      <c r="T61" s="217"/>
      <c r="U61" s="217"/>
      <c r="V61" s="217"/>
      <c r="W61" s="217"/>
      <c r="X61" s="217"/>
      <c r="Y61" s="217"/>
      <c r="Z61" s="217"/>
      <c r="AA61" s="217"/>
      <c r="AB61" s="217"/>
      <c r="AC61" s="217"/>
      <c r="AD61" s="217"/>
      <c r="AE61" s="355"/>
      <c r="AF61" s="217"/>
      <c r="AG61" s="217"/>
      <c r="AH61" s="217"/>
      <c r="AI61" s="217"/>
      <c r="AJ61" s="217"/>
      <c r="AK61" s="217"/>
      <c r="AL61" s="217"/>
      <c r="AM61" s="217"/>
      <c r="AN61" s="217"/>
      <c r="AO61" s="217"/>
      <c r="AP61" s="217"/>
      <c r="AQ61" s="217"/>
      <c r="AR61" s="217"/>
      <c r="AS61" s="217"/>
      <c r="AT61" s="355"/>
      <c r="AU61" s="217"/>
      <c r="AV61" s="217"/>
      <c r="AW61" s="217"/>
      <c r="AX61" s="217"/>
      <c r="AY61" s="217"/>
      <c r="AZ61" s="217"/>
      <c r="BA61" s="217"/>
      <c r="BB61" s="217"/>
      <c r="BC61" s="217"/>
      <c r="BD61" s="217"/>
      <c r="BE61" s="217"/>
      <c r="BF61" s="217"/>
      <c r="BG61" s="217"/>
      <c r="BH61" s="217"/>
    </row>
    <row r="62" spans="1:60">
      <c r="A62" s="254">
        <v>52</v>
      </c>
      <c r="B62" s="242"/>
      <c r="C62" s="243"/>
      <c r="D62" s="243"/>
      <c r="E62" s="357"/>
      <c r="F62" s="217"/>
      <c r="G62" s="217"/>
      <c r="H62" s="217"/>
      <c r="I62" s="217"/>
      <c r="J62" s="217"/>
      <c r="K62" s="217"/>
      <c r="L62" s="217"/>
      <c r="M62" s="217"/>
      <c r="N62" s="217"/>
      <c r="O62" s="217"/>
      <c r="P62" s="355"/>
      <c r="Q62" s="217"/>
      <c r="R62" s="217"/>
      <c r="S62" s="217"/>
      <c r="T62" s="217"/>
      <c r="U62" s="217"/>
      <c r="V62" s="217"/>
      <c r="W62" s="217"/>
      <c r="X62" s="217"/>
      <c r="Y62" s="217"/>
      <c r="Z62" s="217"/>
      <c r="AA62" s="217"/>
      <c r="AB62" s="217"/>
      <c r="AC62" s="217"/>
      <c r="AD62" s="217"/>
      <c r="AE62" s="355"/>
      <c r="AF62" s="217"/>
      <c r="AG62" s="217"/>
      <c r="AH62" s="217"/>
      <c r="AI62" s="217"/>
      <c r="AJ62" s="217"/>
      <c r="AK62" s="217"/>
      <c r="AL62" s="217"/>
      <c r="AM62" s="217"/>
      <c r="AN62" s="217"/>
      <c r="AO62" s="217"/>
      <c r="AP62" s="217"/>
      <c r="AQ62" s="217"/>
      <c r="AR62" s="217"/>
      <c r="AS62" s="217"/>
      <c r="AT62" s="355"/>
      <c r="AU62" s="217"/>
      <c r="AV62" s="217"/>
      <c r="AW62" s="217"/>
      <c r="AX62" s="217"/>
      <c r="AY62" s="217"/>
      <c r="AZ62" s="217"/>
      <c r="BA62" s="217"/>
      <c r="BB62" s="217"/>
      <c r="BC62" s="217"/>
      <c r="BD62" s="217"/>
      <c r="BE62" s="217"/>
      <c r="BF62" s="217"/>
      <c r="BG62" s="217"/>
      <c r="BH62" s="217"/>
    </row>
    <row r="63" spans="1:60">
      <c r="A63" s="254">
        <v>53</v>
      </c>
      <c r="B63" s="242"/>
      <c r="C63" s="243"/>
      <c r="D63" s="243"/>
      <c r="E63" s="357"/>
      <c r="F63" s="217"/>
      <c r="G63" s="217"/>
      <c r="H63" s="217"/>
      <c r="I63" s="217"/>
      <c r="J63" s="217"/>
      <c r="K63" s="217"/>
      <c r="L63" s="217"/>
      <c r="M63" s="217"/>
      <c r="N63" s="217"/>
      <c r="O63" s="217"/>
      <c r="P63" s="355"/>
      <c r="Q63" s="217"/>
      <c r="R63" s="217"/>
      <c r="S63" s="217"/>
      <c r="T63" s="217"/>
      <c r="U63" s="217"/>
      <c r="V63" s="217"/>
      <c r="W63" s="217"/>
      <c r="X63" s="217"/>
      <c r="Y63" s="217"/>
      <c r="Z63" s="217"/>
      <c r="AA63" s="217"/>
      <c r="AB63" s="217"/>
      <c r="AC63" s="217"/>
      <c r="AD63" s="217"/>
      <c r="AE63" s="355"/>
      <c r="AF63" s="217"/>
      <c r="AG63" s="217"/>
      <c r="AH63" s="217"/>
      <c r="AI63" s="217"/>
      <c r="AJ63" s="217"/>
      <c r="AK63" s="217"/>
      <c r="AL63" s="217"/>
      <c r="AM63" s="217"/>
      <c r="AN63" s="217"/>
      <c r="AO63" s="217"/>
      <c r="AP63" s="217"/>
      <c r="AQ63" s="217"/>
      <c r="AR63" s="217"/>
      <c r="AS63" s="217"/>
      <c r="AT63" s="355"/>
      <c r="AU63" s="217"/>
      <c r="AV63" s="217"/>
      <c r="AW63" s="217"/>
      <c r="AX63" s="217"/>
      <c r="AY63" s="217"/>
      <c r="AZ63" s="217"/>
      <c r="BA63" s="217"/>
      <c r="BB63" s="217"/>
      <c r="BC63" s="217"/>
      <c r="BD63" s="217"/>
      <c r="BE63" s="217"/>
      <c r="BF63" s="217"/>
      <c r="BG63" s="217"/>
      <c r="BH63" s="217"/>
    </row>
    <row r="64" spans="1:60">
      <c r="A64" s="254">
        <v>54</v>
      </c>
      <c r="B64" s="242"/>
      <c r="C64" s="243"/>
      <c r="D64" s="243"/>
      <c r="E64" s="357"/>
      <c r="F64" s="217"/>
      <c r="G64" s="217"/>
      <c r="H64" s="217"/>
      <c r="I64" s="217"/>
      <c r="J64" s="217"/>
      <c r="K64" s="217"/>
      <c r="L64" s="217"/>
      <c r="M64" s="217"/>
      <c r="N64" s="217"/>
      <c r="O64" s="217"/>
      <c r="P64" s="355"/>
      <c r="Q64" s="217"/>
      <c r="R64" s="217"/>
      <c r="S64" s="217"/>
      <c r="T64" s="217"/>
      <c r="U64" s="217"/>
      <c r="V64" s="217"/>
      <c r="W64" s="217"/>
      <c r="X64" s="217"/>
      <c r="Y64" s="217"/>
      <c r="Z64" s="217"/>
      <c r="AA64" s="217"/>
      <c r="AB64" s="217"/>
      <c r="AC64" s="217"/>
      <c r="AD64" s="217"/>
      <c r="AE64" s="355"/>
      <c r="AF64" s="217"/>
      <c r="AG64" s="217"/>
      <c r="AH64" s="217"/>
      <c r="AI64" s="217"/>
      <c r="AJ64" s="217"/>
      <c r="AK64" s="217"/>
      <c r="AL64" s="217"/>
      <c r="AM64" s="217"/>
      <c r="AN64" s="217"/>
      <c r="AO64" s="217"/>
      <c r="AP64" s="217"/>
      <c r="AQ64" s="217"/>
      <c r="AR64" s="217"/>
      <c r="AS64" s="217"/>
      <c r="AT64" s="355"/>
      <c r="AU64" s="217"/>
      <c r="AV64" s="217"/>
      <c r="AW64" s="217"/>
      <c r="AX64" s="217"/>
      <c r="AY64" s="217"/>
      <c r="AZ64" s="217"/>
      <c r="BA64" s="217"/>
      <c r="BB64" s="217"/>
      <c r="BC64" s="217"/>
      <c r="BD64" s="217"/>
      <c r="BE64" s="217"/>
      <c r="BF64" s="217"/>
      <c r="BG64" s="217"/>
      <c r="BH64" s="217"/>
    </row>
    <row r="65" spans="1:60">
      <c r="A65" s="254">
        <v>55</v>
      </c>
      <c r="B65" s="242"/>
      <c r="C65" s="243"/>
      <c r="D65" s="243"/>
      <c r="E65" s="357"/>
      <c r="F65" s="217"/>
      <c r="G65" s="217"/>
      <c r="H65" s="217"/>
      <c r="I65" s="217"/>
      <c r="J65" s="217"/>
      <c r="K65" s="217"/>
      <c r="L65" s="217"/>
      <c r="M65" s="217"/>
      <c r="N65" s="217"/>
      <c r="O65" s="217"/>
      <c r="P65" s="355"/>
      <c r="Q65" s="217"/>
      <c r="R65" s="217"/>
      <c r="S65" s="217"/>
      <c r="T65" s="217"/>
      <c r="U65" s="217"/>
      <c r="V65" s="217"/>
      <c r="W65" s="217"/>
      <c r="X65" s="217"/>
      <c r="Y65" s="217"/>
      <c r="Z65" s="217"/>
      <c r="AA65" s="217"/>
      <c r="AB65" s="217"/>
      <c r="AC65" s="217"/>
      <c r="AD65" s="217"/>
      <c r="AE65" s="355"/>
      <c r="AF65" s="217"/>
      <c r="AG65" s="217"/>
      <c r="AH65" s="217"/>
      <c r="AI65" s="217"/>
      <c r="AJ65" s="217"/>
      <c r="AK65" s="217"/>
      <c r="AL65" s="217"/>
      <c r="AM65" s="217"/>
      <c r="AN65" s="217"/>
      <c r="AO65" s="217"/>
      <c r="AP65" s="217"/>
      <c r="AQ65" s="217"/>
      <c r="AR65" s="217"/>
      <c r="AS65" s="217"/>
      <c r="AT65" s="355"/>
      <c r="AU65" s="217"/>
      <c r="AV65" s="217"/>
      <c r="AW65" s="217"/>
      <c r="AX65" s="217"/>
      <c r="AY65" s="217"/>
      <c r="AZ65" s="217"/>
      <c r="BA65" s="217"/>
      <c r="BB65" s="217"/>
      <c r="BC65" s="217"/>
      <c r="BD65" s="217"/>
      <c r="BE65" s="217"/>
      <c r="BF65" s="217"/>
      <c r="BG65" s="217"/>
      <c r="BH65" s="217"/>
    </row>
    <row r="66" spans="1:60">
      <c r="A66" s="254">
        <v>56</v>
      </c>
      <c r="B66" s="242"/>
      <c r="C66" s="243"/>
      <c r="D66" s="243"/>
      <c r="E66" s="357"/>
      <c r="F66" s="217"/>
      <c r="G66" s="217"/>
      <c r="H66" s="217"/>
      <c r="I66" s="217"/>
      <c r="J66" s="217"/>
      <c r="K66" s="217"/>
      <c r="L66" s="217"/>
      <c r="M66" s="217"/>
      <c r="N66" s="217"/>
      <c r="O66" s="217"/>
      <c r="P66" s="355"/>
      <c r="Q66" s="217"/>
      <c r="R66" s="217"/>
      <c r="S66" s="217"/>
      <c r="T66" s="217"/>
      <c r="U66" s="217"/>
      <c r="V66" s="217"/>
      <c r="W66" s="217"/>
      <c r="X66" s="217"/>
      <c r="Y66" s="217"/>
      <c r="Z66" s="217"/>
      <c r="AA66" s="217"/>
      <c r="AB66" s="217"/>
      <c r="AC66" s="217"/>
      <c r="AD66" s="217"/>
      <c r="AE66" s="355"/>
      <c r="AF66" s="217"/>
      <c r="AG66" s="217"/>
      <c r="AH66" s="217"/>
      <c r="AI66" s="217"/>
      <c r="AJ66" s="217"/>
      <c r="AK66" s="217"/>
      <c r="AL66" s="217"/>
      <c r="AM66" s="217"/>
      <c r="AN66" s="217"/>
      <c r="AO66" s="217"/>
      <c r="AP66" s="217"/>
      <c r="AQ66" s="217"/>
      <c r="AR66" s="217"/>
      <c r="AS66" s="217"/>
      <c r="AT66" s="355"/>
      <c r="AU66" s="217"/>
      <c r="AV66" s="217"/>
      <c r="AW66" s="217"/>
      <c r="AX66" s="217"/>
      <c r="AY66" s="217"/>
      <c r="AZ66" s="217"/>
      <c r="BA66" s="217"/>
      <c r="BB66" s="217"/>
      <c r="BC66" s="217"/>
      <c r="BD66" s="217"/>
      <c r="BE66" s="217"/>
      <c r="BF66" s="217"/>
      <c r="BG66" s="217"/>
      <c r="BH66" s="217"/>
    </row>
    <row r="67" spans="1:60">
      <c r="A67" s="254">
        <v>57</v>
      </c>
      <c r="B67" s="242"/>
      <c r="C67" s="243"/>
      <c r="D67" s="243"/>
      <c r="E67" s="357"/>
      <c r="F67" s="217"/>
      <c r="G67" s="217"/>
      <c r="H67" s="217"/>
      <c r="I67" s="217"/>
      <c r="J67" s="217"/>
      <c r="K67" s="217"/>
      <c r="L67" s="217"/>
      <c r="M67" s="217"/>
      <c r="N67" s="217"/>
      <c r="O67" s="217"/>
      <c r="P67" s="355"/>
      <c r="Q67" s="217"/>
      <c r="R67" s="217"/>
      <c r="S67" s="217"/>
      <c r="T67" s="217"/>
      <c r="U67" s="217"/>
      <c r="V67" s="217"/>
      <c r="W67" s="217"/>
      <c r="X67" s="217"/>
      <c r="Y67" s="217"/>
      <c r="Z67" s="217"/>
      <c r="AA67" s="217"/>
      <c r="AB67" s="217"/>
      <c r="AC67" s="217"/>
      <c r="AD67" s="217"/>
      <c r="AE67" s="355"/>
      <c r="AF67" s="217"/>
      <c r="AG67" s="217"/>
      <c r="AH67" s="217"/>
      <c r="AI67" s="217"/>
      <c r="AJ67" s="217"/>
      <c r="AK67" s="217"/>
      <c r="AL67" s="217"/>
      <c r="AM67" s="217"/>
      <c r="AN67" s="217"/>
      <c r="AO67" s="217"/>
      <c r="AP67" s="217"/>
      <c r="AQ67" s="217"/>
      <c r="AR67" s="217"/>
      <c r="AS67" s="217"/>
      <c r="AT67" s="355"/>
      <c r="AU67" s="217"/>
      <c r="AV67" s="217"/>
      <c r="AW67" s="217"/>
      <c r="AX67" s="217"/>
      <c r="AY67" s="217"/>
      <c r="AZ67" s="217"/>
      <c r="BA67" s="217"/>
      <c r="BB67" s="217"/>
      <c r="BC67" s="217"/>
      <c r="BD67" s="217"/>
      <c r="BE67" s="217"/>
      <c r="BF67" s="217"/>
      <c r="BG67" s="217"/>
      <c r="BH67" s="217"/>
    </row>
    <row r="68" spans="1:60">
      <c r="A68" s="254">
        <v>58</v>
      </c>
      <c r="B68" s="242"/>
      <c r="C68" s="243"/>
      <c r="D68" s="243"/>
      <c r="E68" s="357"/>
      <c r="F68" s="217"/>
      <c r="G68" s="217"/>
      <c r="H68" s="217"/>
      <c r="I68" s="217"/>
      <c r="J68" s="217"/>
      <c r="K68" s="217"/>
      <c r="L68" s="217"/>
      <c r="M68" s="217"/>
      <c r="N68" s="217"/>
      <c r="O68" s="217"/>
      <c r="P68" s="355"/>
      <c r="Q68" s="217"/>
      <c r="R68" s="217"/>
      <c r="S68" s="217"/>
      <c r="T68" s="217"/>
      <c r="U68" s="217"/>
      <c r="V68" s="217"/>
      <c r="W68" s="217"/>
      <c r="X68" s="217"/>
      <c r="Y68" s="217"/>
      <c r="Z68" s="217"/>
      <c r="AA68" s="217"/>
      <c r="AB68" s="217"/>
      <c r="AC68" s="217"/>
      <c r="AD68" s="217"/>
      <c r="AE68" s="355"/>
      <c r="AF68" s="217"/>
      <c r="AG68" s="217"/>
      <c r="AH68" s="217"/>
      <c r="AI68" s="217"/>
      <c r="AJ68" s="217"/>
      <c r="AK68" s="217"/>
      <c r="AL68" s="217"/>
      <c r="AM68" s="217"/>
      <c r="AN68" s="217"/>
      <c r="AO68" s="217"/>
      <c r="AP68" s="217"/>
      <c r="AQ68" s="217"/>
      <c r="AR68" s="217"/>
      <c r="AS68" s="217"/>
      <c r="AT68" s="355"/>
      <c r="AU68" s="217"/>
      <c r="AV68" s="217"/>
      <c r="AW68" s="217"/>
      <c r="AX68" s="217"/>
      <c r="AY68" s="217"/>
      <c r="AZ68" s="217"/>
      <c r="BA68" s="217"/>
      <c r="BB68" s="217"/>
      <c r="BC68" s="217"/>
      <c r="BD68" s="217"/>
      <c r="BE68" s="217"/>
      <c r="BF68" s="217"/>
      <c r="BG68" s="217"/>
      <c r="BH68" s="217"/>
    </row>
    <row r="69" spans="1:60">
      <c r="A69" s="254">
        <v>59</v>
      </c>
      <c r="B69" s="242"/>
      <c r="C69" s="243"/>
      <c r="D69" s="243"/>
      <c r="E69" s="357"/>
      <c r="F69" s="217"/>
      <c r="G69" s="217"/>
      <c r="H69" s="217"/>
      <c r="I69" s="217"/>
      <c r="J69" s="217"/>
      <c r="K69" s="217"/>
      <c r="L69" s="217"/>
      <c r="M69" s="217"/>
      <c r="N69" s="217"/>
      <c r="O69" s="217"/>
      <c r="P69" s="355"/>
      <c r="Q69" s="217"/>
      <c r="R69" s="217"/>
      <c r="S69" s="217"/>
      <c r="T69" s="217"/>
      <c r="U69" s="217"/>
      <c r="V69" s="217"/>
      <c r="W69" s="217"/>
      <c r="X69" s="217"/>
      <c r="Y69" s="217"/>
      <c r="Z69" s="217"/>
      <c r="AA69" s="217"/>
      <c r="AB69" s="217"/>
      <c r="AC69" s="217"/>
      <c r="AD69" s="217"/>
      <c r="AE69" s="355"/>
      <c r="AF69" s="217"/>
      <c r="AG69" s="217"/>
      <c r="AH69" s="217"/>
      <c r="AI69" s="217"/>
      <c r="AJ69" s="217"/>
      <c r="AK69" s="217"/>
      <c r="AL69" s="217"/>
      <c r="AM69" s="217"/>
      <c r="AN69" s="217"/>
      <c r="AO69" s="217"/>
      <c r="AP69" s="217"/>
      <c r="AQ69" s="217"/>
      <c r="AR69" s="217"/>
      <c r="AS69" s="217"/>
      <c r="AT69" s="355"/>
      <c r="AU69" s="217"/>
      <c r="AV69" s="217"/>
      <c r="AW69" s="217"/>
      <c r="AX69" s="217"/>
      <c r="AY69" s="217"/>
      <c r="AZ69" s="217"/>
      <c r="BA69" s="217"/>
      <c r="BB69" s="217"/>
      <c r="BC69" s="217"/>
      <c r="BD69" s="217"/>
      <c r="BE69" s="217"/>
      <c r="BF69" s="217"/>
      <c r="BG69" s="217"/>
      <c r="BH69" s="217"/>
    </row>
    <row r="70" spans="1:60">
      <c r="A70" s="254">
        <v>60</v>
      </c>
      <c r="B70" s="242"/>
      <c r="C70" s="243"/>
      <c r="D70" s="243"/>
      <c r="E70" s="357"/>
      <c r="F70" s="217"/>
      <c r="G70" s="217"/>
      <c r="H70" s="217"/>
      <c r="I70" s="217"/>
      <c r="J70" s="217"/>
      <c r="K70" s="217"/>
      <c r="L70" s="217"/>
      <c r="M70" s="217"/>
      <c r="N70" s="217"/>
      <c r="O70" s="217"/>
      <c r="P70" s="355"/>
      <c r="Q70" s="217"/>
      <c r="R70" s="217"/>
      <c r="S70" s="217"/>
      <c r="T70" s="217"/>
      <c r="U70" s="217"/>
      <c r="V70" s="217"/>
      <c r="W70" s="217"/>
      <c r="X70" s="217"/>
      <c r="Y70" s="217"/>
      <c r="Z70" s="217"/>
      <c r="AA70" s="217"/>
      <c r="AB70" s="217"/>
      <c r="AC70" s="217"/>
      <c r="AD70" s="217"/>
      <c r="AE70" s="355"/>
      <c r="AF70" s="217"/>
      <c r="AG70" s="217"/>
      <c r="AH70" s="217"/>
      <c r="AI70" s="217"/>
      <c r="AJ70" s="217"/>
      <c r="AK70" s="217"/>
      <c r="AL70" s="217"/>
      <c r="AM70" s="217"/>
      <c r="AN70" s="217"/>
      <c r="AO70" s="217"/>
      <c r="AP70" s="217"/>
      <c r="AQ70" s="217"/>
      <c r="AR70" s="217"/>
      <c r="AS70" s="217"/>
      <c r="AT70" s="355"/>
      <c r="AU70" s="217"/>
      <c r="AV70" s="217"/>
      <c r="AW70" s="217"/>
      <c r="AX70" s="217"/>
      <c r="AY70" s="217"/>
      <c r="AZ70" s="217"/>
      <c r="BA70" s="217"/>
      <c r="BB70" s="217"/>
      <c r="BC70" s="217"/>
      <c r="BD70" s="217"/>
      <c r="BE70" s="217"/>
      <c r="BF70" s="217"/>
      <c r="BG70" s="217"/>
      <c r="BH70" s="217"/>
    </row>
    <row r="71" spans="1:60">
      <c r="A71" s="254">
        <v>61</v>
      </c>
      <c r="B71" s="242"/>
      <c r="C71" s="243"/>
      <c r="D71" s="243"/>
      <c r="E71" s="357"/>
      <c r="F71" s="217"/>
      <c r="G71" s="217"/>
      <c r="H71" s="217"/>
      <c r="I71" s="217"/>
      <c r="J71" s="217"/>
      <c r="K71" s="217"/>
      <c r="L71" s="217"/>
      <c r="M71" s="217"/>
      <c r="N71" s="217"/>
      <c r="O71" s="217"/>
      <c r="P71" s="355"/>
      <c r="Q71" s="217"/>
      <c r="R71" s="217"/>
      <c r="S71" s="217"/>
      <c r="T71" s="217"/>
      <c r="U71" s="217"/>
      <c r="V71" s="217"/>
      <c r="W71" s="217"/>
      <c r="X71" s="217"/>
      <c r="Y71" s="217"/>
      <c r="Z71" s="217"/>
      <c r="AA71" s="217"/>
      <c r="AB71" s="217"/>
      <c r="AC71" s="217"/>
      <c r="AD71" s="217"/>
      <c r="AE71" s="355"/>
      <c r="AF71" s="217"/>
      <c r="AG71" s="217"/>
      <c r="AH71" s="217"/>
      <c r="AI71" s="217"/>
      <c r="AJ71" s="217"/>
      <c r="AK71" s="217"/>
      <c r="AL71" s="217"/>
      <c r="AM71" s="217"/>
      <c r="AN71" s="217"/>
      <c r="AO71" s="217"/>
      <c r="AP71" s="217"/>
      <c r="AQ71" s="217"/>
      <c r="AR71" s="217"/>
      <c r="AS71" s="217"/>
      <c r="AT71" s="355"/>
      <c r="AU71" s="217"/>
      <c r="AV71" s="217"/>
      <c r="AW71" s="217"/>
      <c r="AX71" s="217"/>
      <c r="AY71" s="217"/>
      <c r="AZ71" s="217"/>
      <c r="BA71" s="217"/>
      <c r="BB71" s="217"/>
      <c r="BC71" s="217"/>
      <c r="BD71" s="217"/>
      <c r="BE71" s="217"/>
      <c r="BF71" s="217"/>
      <c r="BG71" s="217"/>
      <c r="BH71" s="217"/>
    </row>
    <row r="72" spans="1:60">
      <c r="A72" s="254">
        <v>62</v>
      </c>
      <c r="B72" s="242"/>
      <c r="C72" s="243"/>
      <c r="D72" s="243"/>
      <c r="E72" s="357"/>
      <c r="F72" s="217"/>
      <c r="G72" s="217"/>
      <c r="H72" s="217"/>
      <c r="I72" s="217"/>
      <c r="J72" s="217"/>
      <c r="K72" s="217"/>
      <c r="L72" s="217"/>
      <c r="M72" s="217"/>
      <c r="N72" s="217"/>
      <c r="O72" s="217"/>
      <c r="P72" s="355"/>
      <c r="Q72" s="217"/>
      <c r="R72" s="217"/>
      <c r="S72" s="217"/>
      <c r="T72" s="217"/>
      <c r="U72" s="217"/>
      <c r="V72" s="217"/>
      <c r="W72" s="217"/>
      <c r="X72" s="217"/>
      <c r="Y72" s="217"/>
      <c r="Z72" s="217"/>
      <c r="AA72" s="217"/>
      <c r="AB72" s="217"/>
      <c r="AC72" s="217"/>
      <c r="AD72" s="217"/>
      <c r="AE72" s="355"/>
      <c r="AF72" s="217"/>
      <c r="AG72" s="217"/>
      <c r="AH72" s="217"/>
      <c r="AI72" s="217"/>
      <c r="AJ72" s="217"/>
      <c r="AK72" s="217"/>
      <c r="AL72" s="217"/>
      <c r="AM72" s="217"/>
      <c r="AN72" s="217"/>
      <c r="AO72" s="217"/>
      <c r="AP72" s="217"/>
      <c r="AQ72" s="217"/>
      <c r="AR72" s="217"/>
      <c r="AS72" s="217"/>
      <c r="AT72" s="355"/>
      <c r="AU72" s="217"/>
      <c r="AV72" s="217"/>
      <c r="AW72" s="217"/>
      <c r="AX72" s="217"/>
      <c r="AY72" s="217"/>
      <c r="AZ72" s="217"/>
      <c r="BA72" s="217"/>
      <c r="BB72" s="217"/>
      <c r="BC72" s="217"/>
      <c r="BD72" s="217"/>
      <c r="BE72" s="217"/>
      <c r="BF72" s="217"/>
      <c r="BG72" s="217"/>
      <c r="BH72" s="217"/>
    </row>
    <row r="73" spans="1:60">
      <c r="A73" s="254">
        <v>63</v>
      </c>
      <c r="B73" s="242"/>
      <c r="C73" s="243"/>
      <c r="D73" s="243"/>
      <c r="E73" s="357"/>
      <c r="F73" s="217"/>
      <c r="G73" s="217"/>
      <c r="H73" s="217"/>
      <c r="I73" s="217"/>
      <c r="J73" s="217"/>
      <c r="K73" s="217"/>
      <c r="L73" s="217"/>
      <c r="M73" s="217"/>
      <c r="N73" s="217"/>
      <c r="O73" s="217"/>
      <c r="P73" s="355"/>
      <c r="Q73" s="217"/>
      <c r="R73" s="217"/>
      <c r="S73" s="217"/>
      <c r="T73" s="217"/>
      <c r="U73" s="217"/>
      <c r="V73" s="217"/>
      <c r="W73" s="217"/>
      <c r="X73" s="217"/>
      <c r="Y73" s="217"/>
      <c r="Z73" s="217"/>
      <c r="AA73" s="217"/>
      <c r="AB73" s="217"/>
      <c r="AC73" s="217"/>
      <c r="AD73" s="217"/>
      <c r="AE73" s="355"/>
      <c r="AF73" s="217"/>
      <c r="AG73" s="217"/>
      <c r="AH73" s="217"/>
      <c r="AI73" s="217"/>
      <c r="AJ73" s="217"/>
      <c r="AK73" s="217"/>
      <c r="AL73" s="217"/>
      <c r="AM73" s="217"/>
      <c r="AN73" s="217"/>
      <c r="AO73" s="217"/>
      <c r="AP73" s="217"/>
      <c r="AQ73" s="217"/>
      <c r="AR73" s="217"/>
      <c r="AS73" s="217"/>
      <c r="AT73" s="355"/>
      <c r="AU73" s="217"/>
      <c r="AV73" s="217"/>
      <c r="AW73" s="217"/>
      <c r="AX73" s="217"/>
      <c r="AY73" s="217"/>
      <c r="AZ73" s="217"/>
      <c r="BA73" s="217"/>
      <c r="BB73" s="217"/>
      <c r="BC73" s="217"/>
      <c r="BD73" s="217"/>
      <c r="BE73" s="217"/>
      <c r="BF73" s="217"/>
      <c r="BG73" s="217"/>
      <c r="BH73" s="217"/>
    </row>
    <row r="74" spans="1:60">
      <c r="A74" s="254">
        <v>64</v>
      </c>
      <c r="B74" s="242"/>
      <c r="C74" s="243"/>
      <c r="D74" s="243"/>
      <c r="E74" s="357"/>
      <c r="F74" s="217"/>
      <c r="G74" s="217"/>
      <c r="H74" s="217"/>
      <c r="I74" s="217"/>
      <c r="J74" s="217"/>
      <c r="K74" s="217"/>
      <c r="L74" s="217"/>
      <c r="M74" s="217"/>
      <c r="N74" s="217"/>
      <c r="O74" s="217"/>
      <c r="P74" s="355"/>
      <c r="Q74" s="217"/>
      <c r="R74" s="217"/>
      <c r="S74" s="217"/>
      <c r="T74" s="217"/>
      <c r="U74" s="217"/>
      <c r="V74" s="217"/>
      <c r="W74" s="217"/>
      <c r="X74" s="217"/>
      <c r="Y74" s="217"/>
      <c r="Z74" s="217"/>
      <c r="AA74" s="217"/>
      <c r="AB74" s="217"/>
      <c r="AC74" s="217"/>
      <c r="AD74" s="217"/>
      <c r="AE74" s="355"/>
      <c r="AF74" s="217"/>
      <c r="AG74" s="217"/>
      <c r="AH74" s="217"/>
      <c r="AI74" s="217"/>
      <c r="AJ74" s="217"/>
      <c r="AK74" s="217"/>
      <c r="AL74" s="217"/>
      <c r="AM74" s="217"/>
      <c r="AN74" s="217"/>
      <c r="AO74" s="217"/>
      <c r="AP74" s="217"/>
      <c r="AQ74" s="217"/>
      <c r="AR74" s="217"/>
      <c r="AS74" s="217"/>
      <c r="AT74" s="355"/>
      <c r="AU74" s="217"/>
      <c r="AV74" s="217"/>
      <c r="AW74" s="217"/>
      <c r="AX74" s="217"/>
      <c r="AY74" s="217"/>
      <c r="AZ74" s="217"/>
      <c r="BA74" s="217"/>
      <c r="BB74" s="217"/>
      <c r="BC74" s="217"/>
      <c r="BD74" s="217"/>
      <c r="BE74" s="217"/>
      <c r="BF74" s="217"/>
      <c r="BG74" s="217"/>
      <c r="BH74" s="217"/>
    </row>
    <row r="75" spans="1:60">
      <c r="A75" s="254">
        <v>65</v>
      </c>
      <c r="B75" s="242"/>
      <c r="C75" s="243"/>
      <c r="D75" s="243"/>
      <c r="E75" s="357"/>
      <c r="F75" s="217"/>
      <c r="G75" s="217"/>
      <c r="H75" s="217"/>
      <c r="I75" s="217"/>
      <c r="J75" s="217"/>
      <c r="K75" s="217"/>
      <c r="L75" s="217"/>
      <c r="M75" s="217"/>
      <c r="N75" s="217"/>
      <c r="O75" s="217"/>
      <c r="P75" s="355"/>
      <c r="Q75" s="217"/>
      <c r="R75" s="217"/>
      <c r="S75" s="217"/>
      <c r="T75" s="217"/>
      <c r="U75" s="217"/>
      <c r="V75" s="217"/>
      <c r="W75" s="217"/>
      <c r="X75" s="217"/>
      <c r="Y75" s="217"/>
      <c r="Z75" s="217"/>
      <c r="AA75" s="217"/>
      <c r="AB75" s="217"/>
      <c r="AC75" s="217"/>
      <c r="AD75" s="217"/>
      <c r="AE75" s="355"/>
      <c r="AF75" s="217"/>
      <c r="AG75" s="217"/>
      <c r="AH75" s="217"/>
      <c r="AI75" s="217"/>
      <c r="AJ75" s="217"/>
      <c r="AK75" s="217"/>
      <c r="AL75" s="217"/>
      <c r="AM75" s="217"/>
      <c r="AN75" s="217"/>
      <c r="AO75" s="217"/>
      <c r="AP75" s="217"/>
      <c r="AQ75" s="217"/>
      <c r="AR75" s="217"/>
      <c r="AS75" s="217"/>
      <c r="AT75" s="355"/>
      <c r="AU75" s="217"/>
      <c r="AV75" s="217"/>
      <c r="AW75" s="217"/>
      <c r="AX75" s="217"/>
      <c r="AY75" s="217"/>
      <c r="AZ75" s="217"/>
      <c r="BA75" s="217"/>
      <c r="BB75" s="217"/>
      <c r="BC75" s="217"/>
      <c r="BD75" s="217"/>
      <c r="BE75" s="217"/>
      <c r="BF75" s="217"/>
      <c r="BG75" s="217"/>
      <c r="BH75" s="217"/>
    </row>
    <row r="76" spans="1:60">
      <c r="A76" s="254">
        <v>66</v>
      </c>
      <c r="B76" s="242"/>
      <c r="C76" s="243"/>
      <c r="D76" s="243"/>
      <c r="E76" s="357"/>
      <c r="F76" s="217"/>
      <c r="G76" s="217"/>
      <c r="H76" s="217"/>
      <c r="I76" s="217"/>
      <c r="J76" s="217"/>
      <c r="K76" s="217"/>
      <c r="L76" s="217"/>
      <c r="M76" s="217"/>
      <c r="N76" s="217"/>
      <c r="O76" s="217"/>
      <c r="P76" s="355"/>
      <c r="Q76" s="217"/>
      <c r="R76" s="217"/>
      <c r="S76" s="217"/>
      <c r="T76" s="217"/>
      <c r="U76" s="217"/>
      <c r="V76" s="217"/>
      <c r="W76" s="217"/>
      <c r="X76" s="217"/>
      <c r="Y76" s="217"/>
      <c r="Z76" s="217"/>
      <c r="AA76" s="217"/>
      <c r="AB76" s="217"/>
      <c r="AC76" s="217"/>
      <c r="AD76" s="217"/>
      <c r="AE76" s="355"/>
      <c r="AF76" s="217"/>
      <c r="AG76" s="217"/>
      <c r="AH76" s="217"/>
      <c r="AI76" s="217"/>
      <c r="AJ76" s="217"/>
      <c r="AK76" s="217"/>
      <c r="AL76" s="217"/>
      <c r="AM76" s="217"/>
      <c r="AN76" s="217"/>
      <c r="AO76" s="217"/>
      <c r="AP76" s="217"/>
      <c r="AQ76" s="217"/>
      <c r="AR76" s="217"/>
      <c r="AS76" s="217"/>
      <c r="AT76" s="355"/>
      <c r="AU76" s="217"/>
      <c r="AV76" s="217"/>
      <c r="AW76" s="217"/>
      <c r="AX76" s="217"/>
      <c r="AY76" s="217"/>
      <c r="AZ76" s="217"/>
      <c r="BA76" s="217"/>
      <c r="BB76" s="217"/>
      <c r="BC76" s="217"/>
      <c r="BD76" s="217"/>
      <c r="BE76" s="217"/>
      <c r="BF76" s="217"/>
      <c r="BG76" s="217"/>
      <c r="BH76" s="217"/>
    </row>
    <row r="77" spans="1:60">
      <c r="A77" s="254">
        <v>67</v>
      </c>
      <c r="B77" s="242"/>
      <c r="C77" s="243"/>
      <c r="D77" s="243"/>
      <c r="E77" s="357"/>
      <c r="F77" s="217"/>
      <c r="G77" s="217"/>
      <c r="H77" s="217"/>
      <c r="I77" s="217"/>
      <c r="J77" s="217"/>
      <c r="K77" s="217"/>
      <c r="L77" s="217"/>
      <c r="M77" s="217"/>
      <c r="N77" s="217"/>
      <c r="O77" s="217"/>
      <c r="P77" s="355"/>
      <c r="Q77" s="217"/>
      <c r="R77" s="217"/>
      <c r="S77" s="217"/>
      <c r="T77" s="217"/>
      <c r="U77" s="217"/>
      <c r="V77" s="217"/>
      <c r="W77" s="217"/>
      <c r="X77" s="217"/>
      <c r="Y77" s="217"/>
      <c r="Z77" s="217"/>
      <c r="AA77" s="217"/>
      <c r="AB77" s="217"/>
      <c r="AC77" s="217"/>
      <c r="AD77" s="217"/>
      <c r="AE77" s="355"/>
      <c r="AF77" s="217"/>
      <c r="AG77" s="217"/>
      <c r="AH77" s="217"/>
      <c r="AI77" s="217"/>
      <c r="AJ77" s="217"/>
      <c r="AK77" s="217"/>
      <c r="AL77" s="217"/>
      <c r="AM77" s="217"/>
      <c r="AN77" s="217"/>
      <c r="AO77" s="217"/>
      <c r="AP77" s="217"/>
      <c r="AQ77" s="217"/>
      <c r="AR77" s="217"/>
      <c r="AS77" s="217"/>
      <c r="AT77" s="355"/>
      <c r="AU77" s="217"/>
      <c r="AV77" s="217"/>
      <c r="AW77" s="217"/>
      <c r="AX77" s="217"/>
      <c r="AY77" s="217"/>
      <c r="AZ77" s="217"/>
      <c r="BA77" s="217"/>
      <c r="BB77" s="217"/>
      <c r="BC77" s="217"/>
      <c r="BD77" s="217"/>
      <c r="BE77" s="217"/>
      <c r="BF77" s="217"/>
      <c r="BG77" s="217"/>
      <c r="BH77" s="217"/>
    </row>
    <row r="78" spans="1:60">
      <c r="A78" s="254">
        <v>68</v>
      </c>
      <c r="B78" s="242"/>
      <c r="C78" s="243"/>
      <c r="D78" s="243"/>
      <c r="E78" s="357"/>
      <c r="F78" s="217"/>
      <c r="G78" s="217"/>
      <c r="H78" s="217"/>
      <c r="I78" s="217"/>
      <c r="J78" s="217"/>
      <c r="K78" s="217"/>
      <c r="L78" s="217"/>
      <c r="M78" s="217"/>
      <c r="N78" s="217"/>
      <c r="O78" s="217"/>
      <c r="P78" s="355"/>
      <c r="Q78" s="217"/>
      <c r="R78" s="217"/>
      <c r="S78" s="217"/>
      <c r="T78" s="217"/>
      <c r="U78" s="217"/>
      <c r="V78" s="217"/>
      <c r="W78" s="217"/>
      <c r="X78" s="217"/>
      <c r="Y78" s="217"/>
      <c r="Z78" s="217"/>
      <c r="AA78" s="217"/>
      <c r="AB78" s="217"/>
      <c r="AC78" s="217"/>
      <c r="AD78" s="217"/>
      <c r="AE78" s="355"/>
      <c r="AF78" s="217"/>
      <c r="AG78" s="217"/>
      <c r="AH78" s="217"/>
      <c r="AI78" s="217"/>
      <c r="AJ78" s="217"/>
      <c r="AK78" s="217"/>
      <c r="AL78" s="217"/>
      <c r="AM78" s="217"/>
      <c r="AN78" s="217"/>
      <c r="AO78" s="217"/>
      <c r="AP78" s="217"/>
      <c r="AQ78" s="217"/>
      <c r="AR78" s="217"/>
      <c r="AS78" s="217"/>
      <c r="AT78" s="355"/>
      <c r="AU78" s="217"/>
      <c r="AV78" s="217"/>
      <c r="AW78" s="217"/>
      <c r="AX78" s="217"/>
      <c r="AY78" s="217"/>
      <c r="AZ78" s="217"/>
      <c r="BA78" s="217"/>
      <c r="BB78" s="217"/>
      <c r="BC78" s="217"/>
      <c r="BD78" s="217"/>
      <c r="BE78" s="217"/>
      <c r="BF78" s="217"/>
      <c r="BG78" s="217"/>
      <c r="BH78" s="217"/>
    </row>
    <row r="79" spans="1:60">
      <c r="A79" s="254">
        <v>69</v>
      </c>
      <c r="B79" s="242"/>
      <c r="C79" s="243"/>
      <c r="D79" s="243"/>
      <c r="E79" s="357"/>
      <c r="F79" s="217"/>
      <c r="G79" s="217"/>
      <c r="H79" s="217"/>
      <c r="I79" s="217"/>
      <c r="J79" s="217"/>
      <c r="K79" s="217"/>
      <c r="L79" s="217"/>
      <c r="M79" s="217"/>
      <c r="N79" s="217"/>
      <c r="O79" s="217"/>
      <c r="P79" s="355"/>
      <c r="Q79" s="217"/>
      <c r="R79" s="217"/>
      <c r="S79" s="217"/>
      <c r="T79" s="217"/>
      <c r="U79" s="217"/>
      <c r="V79" s="217"/>
      <c r="W79" s="217"/>
      <c r="X79" s="217"/>
      <c r="Y79" s="217"/>
      <c r="Z79" s="217"/>
      <c r="AA79" s="217"/>
      <c r="AB79" s="217"/>
      <c r="AC79" s="217"/>
      <c r="AD79" s="217"/>
      <c r="AE79" s="355"/>
      <c r="AF79" s="217"/>
      <c r="AG79" s="217"/>
      <c r="AH79" s="217"/>
      <c r="AI79" s="217"/>
      <c r="AJ79" s="217"/>
      <c r="AK79" s="217"/>
      <c r="AL79" s="217"/>
      <c r="AM79" s="217"/>
      <c r="AN79" s="217"/>
      <c r="AO79" s="217"/>
      <c r="AP79" s="217"/>
      <c r="AQ79" s="217"/>
      <c r="AR79" s="217"/>
      <c r="AS79" s="217"/>
      <c r="AT79" s="355"/>
      <c r="AU79" s="217"/>
      <c r="AV79" s="217"/>
      <c r="AW79" s="217"/>
      <c r="AX79" s="217"/>
      <c r="AY79" s="217"/>
      <c r="AZ79" s="217"/>
      <c r="BA79" s="217"/>
      <c r="BB79" s="217"/>
      <c r="BC79" s="217"/>
      <c r="BD79" s="217"/>
      <c r="BE79" s="217"/>
      <c r="BF79" s="217"/>
      <c r="BG79" s="217"/>
      <c r="BH79" s="217"/>
    </row>
    <row r="80" spans="1:60">
      <c r="A80" s="254">
        <v>70</v>
      </c>
      <c r="B80" s="242"/>
      <c r="C80" s="243"/>
      <c r="D80" s="243"/>
      <c r="E80" s="357"/>
      <c r="F80" s="217"/>
      <c r="G80" s="217"/>
      <c r="H80" s="217"/>
      <c r="I80" s="217"/>
      <c r="J80" s="217"/>
      <c r="K80" s="217"/>
      <c r="L80" s="217"/>
      <c r="M80" s="217"/>
      <c r="N80" s="217"/>
      <c r="O80" s="217"/>
      <c r="P80" s="355"/>
      <c r="Q80" s="217"/>
      <c r="R80" s="217"/>
      <c r="S80" s="217"/>
      <c r="T80" s="217"/>
      <c r="U80" s="217"/>
      <c r="V80" s="217"/>
      <c r="W80" s="217"/>
      <c r="X80" s="217"/>
      <c r="Y80" s="217"/>
      <c r="Z80" s="217"/>
      <c r="AA80" s="217"/>
      <c r="AB80" s="217"/>
      <c r="AC80" s="217"/>
      <c r="AD80" s="217"/>
      <c r="AE80" s="355"/>
      <c r="AF80" s="217"/>
      <c r="AG80" s="217"/>
      <c r="AH80" s="217"/>
      <c r="AI80" s="217"/>
      <c r="AJ80" s="217"/>
      <c r="AK80" s="217"/>
      <c r="AL80" s="217"/>
      <c r="AM80" s="217"/>
      <c r="AN80" s="217"/>
      <c r="AO80" s="217"/>
      <c r="AP80" s="217"/>
      <c r="AQ80" s="217"/>
      <c r="AR80" s="217"/>
      <c r="AS80" s="217"/>
      <c r="AT80" s="355"/>
      <c r="AU80" s="217"/>
      <c r="AV80" s="217"/>
      <c r="AW80" s="217"/>
      <c r="AX80" s="217"/>
      <c r="AY80" s="217"/>
      <c r="AZ80" s="217"/>
      <c r="BA80" s="217"/>
      <c r="BB80" s="217"/>
      <c r="BC80" s="217"/>
      <c r="BD80" s="217"/>
      <c r="BE80" s="217"/>
      <c r="BF80" s="217"/>
      <c r="BG80" s="217"/>
      <c r="BH80" s="217"/>
    </row>
    <row r="81" spans="1:60">
      <c r="A81" s="254">
        <v>71</v>
      </c>
      <c r="B81" s="242"/>
      <c r="C81" s="243"/>
      <c r="D81" s="243"/>
      <c r="E81" s="357"/>
      <c r="F81" s="217"/>
      <c r="G81" s="217"/>
      <c r="H81" s="217"/>
      <c r="I81" s="217"/>
      <c r="J81" s="217"/>
      <c r="K81" s="217"/>
      <c r="L81" s="217"/>
      <c r="M81" s="217"/>
      <c r="N81" s="217"/>
      <c r="O81" s="217"/>
      <c r="P81" s="355"/>
      <c r="Q81" s="217"/>
      <c r="R81" s="217"/>
      <c r="S81" s="217"/>
      <c r="T81" s="217"/>
      <c r="U81" s="217"/>
      <c r="V81" s="217"/>
      <c r="W81" s="217"/>
      <c r="X81" s="217"/>
      <c r="Y81" s="217"/>
      <c r="Z81" s="217"/>
      <c r="AA81" s="217"/>
      <c r="AB81" s="217"/>
      <c r="AC81" s="217"/>
      <c r="AD81" s="217"/>
      <c r="AE81" s="355"/>
      <c r="AF81" s="217"/>
      <c r="AG81" s="217"/>
      <c r="AH81" s="217"/>
      <c r="AI81" s="217"/>
      <c r="AJ81" s="217"/>
      <c r="AK81" s="217"/>
      <c r="AL81" s="217"/>
      <c r="AM81" s="217"/>
      <c r="AN81" s="217"/>
      <c r="AO81" s="217"/>
      <c r="AP81" s="217"/>
      <c r="AQ81" s="217"/>
      <c r="AR81" s="217"/>
      <c r="AS81" s="217"/>
      <c r="AT81" s="355"/>
      <c r="AU81" s="217"/>
      <c r="AV81" s="217"/>
      <c r="AW81" s="217"/>
      <c r="AX81" s="217"/>
      <c r="AY81" s="217"/>
      <c r="AZ81" s="217"/>
      <c r="BA81" s="217"/>
      <c r="BB81" s="217"/>
      <c r="BC81" s="217"/>
      <c r="BD81" s="217"/>
      <c r="BE81" s="217"/>
      <c r="BF81" s="217"/>
      <c r="BG81" s="217"/>
      <c r="BH81" s="217"/>
    </row>
    <row r="82" spans="1:60">
      <c r="A82" s="254">
        <v>72</v>
      </c>
      <c r="B82" s="242"/>
      <c r="C82" s="243"/>
      <c r="D82" s="243"/>
      <c r="E82" s="357"/>
      <c r="F82" s="217"/>
      <c r="G82" s="217"/>
      <c r="H82" s="217"/>
      <c r="I82" s="217"/>
      <c r="J82" s="217"/>
      <c r="K82" s="217"/>
      <c r="L82" s="217"/>
      <c r="M82" s="217"/>
      <c r="N82" s="217"/>
      <c r="O82" s="217"/>
      <c r="P82" s="355"/>
      <c r="Q82" s="217"/>
      <c r="R82" s="217"/>
      <c r="S82" s="217"/>
      <c r="T82" s="217"/>
      <c r="U82" s="217"/>
      <c r="V82" s="217"/>
      <c r="W82" s="217"/>
      <c r="X82" s="217"/>
      <c r="Y82" s="217"/>
      <c r="Z82" s="217"/>
      <c r="AA82" s="217"/>
      <c r="AB82" s="217"/>
      <c r="AC82" s="217"/>
      <c r="AD82" s="217"/>
      <c r="AE82" s="355"/>
      <c r="AF82" s="217"/>
      <c r="AG82" s="217"/>
      <c r="AH82" s="217"/>
      <c r="AI82" s="217"/>
      <c r="AJ82" s="217"/>
      <c r="AK82" s="217"/>
      <c r="AL82" s="217"/>
      <c r="AM82" s="217"/>
      <c r="AN82" s="217"/>
      <c r="AO82" s="217"/>
      <c r="AP82" s="217"/>
      <c r="AQ82" s="217"/>
      <c r="AR82" s="217"/>
      <c r="AS82" s="217"/>
      <c r="AT82" s="355"/>
      <c r="AU82" s="217"/>
      <c r="AV82" s="217"/>
      <c r="AW82" s="217"/>
      <c r="AX82" s="217"/>
      <c r="AY82" s="217"/>
      <c r="AZ82" s="217"/>
      <c r="BA82" s="217"/>
      <c r="BB82" s="217"/>
      <c r="BC82" s="217"/>
      <c r="BD82" s="217"/>
      <c r="BE82" s="217"/>
      <c r="BF82" s="217"/>
      <c r="BG82" s="217"/>
      <c r="BH82" s="217"/>
    </row>
    <row r="83" spans="1:60">
      <c r="A83" s="254">
        <v>73</v>
      </c>
      <c r="B83" s="242"/>
      <c r="C83" s="243"/>
      <c r="D83" s="243"/>
      <c r="E83" s="357"/>
      <c r="F83" s="217"/>
      <c r="G83" s="217"/>
      <c r="H83" s="217"/>
      <c r="I83" s="217"/>
      <c r="J83" s="217"/>
      <c r="K83" s="217"/>
      <c r="L83" s="217"/>
      <c r="M83" s="217"/>
      <c r="N83" s="217"/>
      <c r="O83" s="217"/>
      <c r="P83" s="355"/>
      <c r="Q83" s="217"/>
      <c r="R83" s="217"/>
      <c r="S83" s="217"/>
      <c r="T83" s="217"/>
      <c r="U83" s="217"/>
      <c r="V83" s="217"/>
      <c r="W83" s="217"/>
      <c r="X83" s="217"/>
      <c r="Y83" s="217"/>
      <c r="Z83" s="217"/>
      <c r="AA83" s="217"/>
      <c r="AB83" s="217"/>
      <c r="AC83" s="217"/>
      <c r="AD83" s="217"/>
      <c r="AE83" s="355"/>
      <c r="AF83" s="217"/>
      <c r="AG83" s="217"/>
      <c r="AH83" s="217"/>
      <c r="AI83" s="217"/>
      <c r="AJ83" s="217"/>
      <c r="AK83" s="217"/>
      <c r="AL83" s="217"/>
      <c r="AM83" s="217"/>
      <c r="AN83" s="217"/>
      <c r="AO83" s="217"/>
      <c r="AP83" s="217"/>
      <c r="AQ83" s="217"/>
      <c r="AR83" s="217"/>
      <c r="AS83" s="217"/>
      <c r="AT83" s="355"/>
      <c r="AU83" s="217"/>
      <c r="AV83" s="217"/>
      <c r="AW83" s="217"/>
      <c r="AX83" s="217"/>
      <c r="AY83" s="217"/>
      <c r="AZ83" s="217"/>
      <c r="BA83" s="217"/>
      <c r="BB83" s="217"/>
      <c r="BC83" s="217"/>
      <c r="BD83" s="217"/>
      <c r="BE83" s="217"/>
      <c r="BF83" s="217"/>
      <c r="BG83" s="217"/>
      <c r="BH83" s="217"/>
    </row>
    <row r="84" spans="1:60">
      <c r="A84" s="254">
        <v>74</v>
      </c>
      <c r="B84" s="242"/>
      <c r="C84" s="243"/>
      <c r="D84" s="243"/>
      <c r="E84" s="357"/>
      <c r="F84" s="217"/>
      <c r="G84" s="217"/>
      <c r="H84" s="217"/>
      <c r="I84" s="217"/>
      <c r="J84" s="217"/>
      <c r="K84" s="217"/>
      <c r="L84" s="217"/>
      <c r="M84" s="217"/>
      <c r="N84" s="217"/>
      <c r="O84" s="217"/>
      <c r="P84" s="355"/>
      <c r="Q84" s="217"/>
      <c r="R84" s="217"/>
      <c r="S84" s="217"/>
      <c r="T84" s="217"/>
      <c r="U84" s="217"/>
      <c r="V84" s="217"/>
      <c r="W84" s="217"/>
      <c r="X84" s="217"/>
      <c r="Y84" s="217"/>
      <c r="Z84" s="217"/>
      <c r="AA84" s="217"/>
      <c r="AB84" s="217"/>
      <c r="AC84" s="217"/>
      <c r="AD84" s="217"/>
      <c r="AE84" s="355"/>
      <c r="AF84" s="217"/>
      <c r="AG84" s="217"/>
      <c r="AH84" s="217"/>
      <c r="AI84" s="217"/>
      <c r="AJ84" s="217"/>
      <c r="AK84" s="217"/>
      <c r="AL84" s="217"/>
      <c r="AM84" s="217"/>
      <c r="AN84" s="217"/>
      <c r="AO84" s="217"/>
      <c r="AP84" s="217"/>
      <c r="AQ84" s="217"/>
      <c r="AR84" s="217"/>
      <c r="AS84" s="217"/>
      <c r="AT84" s="355"/>
      <c r="AU84" s="217"/>
      <c r="AV84" s="217"/>
      <c r="AW84" s="217"/>
      <c r="AX84" s="217"/>
      <c r="AY84" s="217"/>
      <c r="AZ84" s="217"/>
      <c r="BA84" s="217"/>
      <c r="BB84" s="217"/>
      <c r="BC84" s="217"/>
      <c r="BD84" s="217"/>
      <c r="BE84" s="217"/>
      <c r="BF84" s="217"/>
      <c r="BG84" s="217"/>
      <c r="BH84" s="217"/>
    </row>
    <row r="85" spans="1:60">
      <c r="A85" s="254">
        <v>75</v>
      </c>
      <c r="B85" s="242"/>
      <c r="C85" s="243"/>
      <c r="D85" s="243"/>
      <c r="E85" s="357"/>
      <c r="F85" s="217"/>
      <c r="G85" s="217"/>
      <c r="H85" s="217"/>
      <c r="I85" s="217"/>
      <c r="J85" s="217"/>
      <c r="K85" s="217"/>
      <c r="L85" s="217"/>
      <c r="M85" s="217"/>
      <c r="N85" s="217"/>
      <c r="O85" s="217"/>
      <c r="P85" s="355"/>
      <c r="Q85" s="217"/>
      <c r="R85" s="217"/>
      <c r="S85" s="217"/>
      <c r="T85" s="217"/>
      <c r="U85" s="217"/>
      <c r="V85" s="217"/>
      <c r="W85" s="217"/>
      <c r="X85" s="217"/>
      <c r="Y85" s="217"/>
      <c r="Z85" s="217"/>
      <c r="AA85" s="217"/>
      <c r="AB85" s="217"/>
      <c r="AC85" s="217"/>
      <c r="AD85" s="217"/>
      <c r="AE85" s="355"/>
      <c r="AF85" s="217"/>
      <c r="AG85" s="217"/>
      <c r="AH85" s="217"/>
      <c r="AI85" s="217"/>
      <c r="AJ85" s="217"/>
      <c r="AK85" s="217"/>
      <c r="AL85" s="217"/>
      <c r="AM85" s="217"/>
      <c r="AN85" s="217"/>
      <c r="AO85" s="217"/>
      <c r="AP85" s="217"/>
      <c r="AQ85" s="217"/>
      <c r="AR85" s="217"/>
      <c r="AS85" s="217"/>
      <c r="AT85" s="355"/>
      <c r="AU85" s="217"/>
      <c r="AV85" s="217"/>
      <c r="AW85" s="217"/>
      <c r="AX85" s="217"/>
      <c r="AY85" s="217"/>
      <c r="AZ85" s="217"/>
      <c r="BA85" s="217"/>
      <c r="BB85" s="217"/>
      <c r="BC85" s="217"/>
      <c r="BD85" s="217"/>
      <c r="BE85" s="217"/>
      <c r="BF85" s="217"/>
      <c r="BG85" s="217"/>
      <c r="BH85" s="217"/>
    </row>
    <row r="86" spans="1:60">
      <c r="A86" s="254">
        <v>76</v>
      </c>
      <c r="B86" s="242"/>
      <c r="C86" s="243"/>
      <c r="D86" s="243"/>
      <c r="E86" s="357"/>
      <c r="F86" s="217"/>
      <c r="G86" s="217"/>
      <c r="H86" s="217"/>
      <c r="I86" s="217"/>
      <c r="J86" s="217"/>
      <c r="K86" s="217"/>
      <c r="L86" s="217"/>
      <c r="M86" s="217"/>
      <c r="N86" s="217"/>
      <c r="O86" s="217"/>
      <c r="P86" s="355"/>
      <c r="Q86" s="217"/>
      <c r="R86" s="217"/>
      <c r="S86" s="217"/>
      <c r="T86" s="217"/>
      <c r="U86" s="217"/>
      <c r="V86" s="217"/>
      <c r="W86" s="217"/>
      <c r="X86" s="217"/>
      <c r="Y86" s="217"/>
      <c r="Z86" s="217"/>
      <c r="AA86" s="217"/>
      <c r="AB86" s="217"/>
      <c r="AC86" s="217"/>
      <c r="AD86" s="217"/>
      <c r="AE86" s="355"/>
      <c r="AF86" s="217"/>
      <c r="AG86" s="217"/>
      <c r="AH86" s="217"/>
      <c r="AI86" s="217"/>
      <c r="AJ86" s="217"/>
      <c r="AK86" s="217"/>
      <c r="AL86" s="217"/>
      <c r="AM86" s="217"/>
      <c r="AN86" s="217"/>
      <c r="AO86" s="217"/>
      <c r="AP86" s="217"/>
      <c r="AQ86" s="217"/>
      <c r="AR86" s="217"/>
      <c r="AS86" s="217"/>
      <c r="AT86" s="355"/>
      <c r="AU86" s="217"/>
      <c r="AV86" s="217"/>
      <c r="AW86" s="217"/>
      <c r="AX86" s="217"/>
      <c r="AY86" s="217"/>
      <c r="AZ86" s="217"/>
      <c r="BA86" s="217"/>
      <c r="BB86" s="217"/>
      <c r="BC86" s="217"/>
      <c r="BD86" s="217"/>
      <c r="BE86" s="217"/>
      <c r="BF86" s="217"/>
      <c r="BG86" s="217"/>
      <c r="BH86" s="217"/>
    </row>
    <row r="87" spans="1:60">
      <c r="A87" s="254">
        <v>77</v>
      </c>
      <c r="B87" s="242"/>
      <c r="C87" s="243"/>
      <c r="D87" s="243"/>
      <c r="E87" s="357"/>
      <c r="F87" s="217"/>
      <c r="G87" s="217"/>
      <c r="H87" s="217"/>
      <c r="I87" s="217"/>
      <c r="J87" s="217"/>
      <c r="K87" s="217"/>
      <c r="L87" s="217"/>
      <c r="M87" s="217"/>
      <c r="N87" s="217"/>
      <c r="O87" s="217"/>
      <c r="P87" s="355"/>
      <c r="Q87" s="217"/>
      <c r="R87" s="217"/>
      <c r="S87" s="217"/>
      <c r="T87" s="217"/>
      <c r="U87" s="217"/>
      <c r="V87" s="217"/>
      <c r="W87" s="217"/>
      <c r="X87" s="217"/>
      <c r="Y87" s="217"/>
      <c r="Z87" s="217"/>
      <c r="AA87" s="217"/>
      <c r="AB87" s="217"/>
      <c r="AC87" s="217"/>
      <c r="AD87" s="217"/>
      <c r="AE87" s="355"/>
      <c r="AF87" s="217"/>
      <c r="AG87" s="217"/>
      <c r="AH87" s="217"/>
      <c r="AI87" s="217"/>
      <c r="AJ87" s="217"/>
      <c r="AK87" s="217"/>
      <c r="AL87" s="217"/>
      <c r="AM87" s="217"/>
      <c r="AN87" s="217"/>
      <c r="AO87" s="217"/>
      <c r="AP87" s="217"/>
      <c r="AQ87" s="217"/>
      <c r="AR87" s="217"/>
      <c r="AS87" s="217"/>
      <c r="AT87" s="355"/>
      <c r="AU87" s="217"/>
      <c r="AV87" s="217"/>
      <c r="AW87" s="217"/>
      <c r="AX87" s="217"/>
      <c r="AY87" s="217"/>
      <c r="AZ87" s="217"/>
      <c r="BA87" s="217"/>
      <c r="BB87" s="217"/>
      <c r="BC87" s="217"/>
      <c r="BD87" s="217"/>
      <c r="BE87" s="217"/>
      <c r="BF87" s="217"/>
      <c r="BG87" s="217"/>
      <c r="BH87" s="217"/>
    </row>
    <row r="88" spans="1:60">
      <c r="A88" s="254">
        <v>78</v>
      </c>
      <c r="B88" s="242"/>
      <c r="C88" s="243"/>
      <c r="D88" s="243"/>
      <c r="E88" s="357"/>
      <c r="F88" s="217"/>
      <c r="G88" s="217"/>
      <c r="H88" s="217"/>
      <c r="I88" s="217"/>
      <c r="J88" s="217"/>
      <c r="K88" s="217"/>
      <c r="L88" s="217"/>
      <c r="M88" s="217"/>
      <c r="N88" s="217"/>
      <c r="O88" s="217"/>
      <c r="P88" s="355"/>
      <c r="Q88" s="217"/>
      <c r="R88" s="217"/>
      <c r="S88" s="217"/>
      <c r="T88" s="217"/>
      <c r="U88" s="217"/>
      <c r="V88" s="217"/>
      <c r="W88" s="217"/>
      <c r="X88" s="217"/>
      <c r="Y88" s="217"/>
      <c r="Z88" s="217"/>
      <c r="AA88" s="217"/>
      <c r="AB88" s="217"/>
      <c r="AC88" s="217"/>
      <c r="AD88" s="217"/>
      <c r="AE88" s="355"/>
      <c r="AF88" s="217"/>
      <c r="AG88" s="217"/>
      <c r="AH88" s="217"/>
      <c r="AI88" s="217"/>
      <c r="AJ88" s="217"/>
      <c r="AK88" s="217"/>
      <c r="AL88" s="217"/>
      <c r="AM88" s="217"/>
      <c r="AN88" s="217"/>
      <c r="AO88" s="217"/>
      <c r="AP88" s="217"/>
      <c r="AQ88" s="217"/>
      <c r="AR88" s="217"/>
      <c r="AS88" s="217"/>
      <c r="AT88" s="355"/>
      <c r="AU88" s="217"/>
      <c r="AV88" s="217"/>
      <c r="AW88" s="217"/>
      <c r="AX88" s="217"/>
      <c r="AY88" s="217"/>
      <c r="AZ88" s="217"/>
      <c r="BA88" s="217"/>
      <c r="BB88" s="217"/>
      <c r="BC88" s="217"/>
      <c r="BD88" s="217"/>
      <c r="BE88" s="217"/>
      <c r="BF88" s="217"/>
      <c r="BG88" s="217"/>
      <c r="BH88" s="217"/>
    </row>
    <row r="89" spans="1:60">
      <c r="A89" s="254">
        <v>79</v>
      </c>
      <c r="B89" s="242"/>
      <c r="C89" s="243"/>
      <c r="D89" s="243"/>
      <c r="E89" s="357"/>
      <c r="F89" s="217"/>
      <c r="G89" s="217"/>
      <c r="H89" s="217"/>
      <c r="I89" s="217"/>
      <c r="J89" s="217"/>
      <c r="K89" s="217"/>
      <c r="L89" s="217"/>
      <c r="M89" s="217"/>
      <c r="N89" s="217"/>
      <c r="O89" s="217"/>
      <c r="P89" s="355"/>
      <c r="Q89" s="217"/>
      <c r="R89" s="217"/>
      <c r="S89" s="217"/>
      <c r="T89" s="217"/>
      <c r="U89" s="217"/>
      <c r="V89" s="217"/>
      <c r="W89" s="217"/>
      <c r="X89" s="217"/>
      <c r="Y89" s="217"/>
      <c r="Z89" s="217"/>
      <c r="AA89" s="217"/>
      <c r="AB89" s="217"/>
      <c r="AC89" s="217"/>
      <c r="AD89" s="217"/>
      <c r="AE89" s="355"/>
      <c r="AF89" s="217"/>
      <c r="AG89" s="217"/>
      <c r="AH89" s="217"/>
      <c r="AI89" s="217"/>
      <c r="AJ89" s="217"/>
      <c r="AK89" s="217"/>
      <c r="AL89" s="217"/>
      <c r="AM89" s="217"/>
      <c r="AN89" s="217"/>
      <c r="AO89" s="217"/>
      <c r="AP89" s="217"/>
      <c r="AQ89" s="217"/>
      <c r="AR89" s="217"/>
      <c r="AS89" s="217"/>
      <c r="AT89" s="355"/>
      <c r="AU89" s="217"/>
      <c r="AV89" s="217"/>
      <c r="AW89" s="217"/>
      <c r="AX89" s="217"/>
      <c r="AY89" s="217"/>
      <c r="AZ89" s="217"/>
      <c r="BA89" s="217"/>
      <c r="BB89" s="217"/>
      <c r="BC89" s="217"/>
      <c r="BD89" s="217"/>
      <c r="BE89" s="217"/>
      <c r="BF89" s="217"/>
      <c r="BG89" s="217"/>
      <c r="BH89" s="217"/>
    </row>
    <row r="90" spans="1:60">
      <c r="A90" s="254">
        <v>80</v>
      </c>
      <c r="B90" s="242"/>
      <c r="C90" s="243"/>
      <c r="D90" s="243"/>
      <c r="E90" s="357"/>
      <c r="F90" s="217"/>
      <c r="G90" s="217"/>
      <c r="H90" s="217"/>
      <c r="I90" s="217"/>
      <c r="J90" s="217"/>
      <c r="K90" s="217"/>
      <c r="L90" s="217"/>
      <c r="M90" s="217"/>
      <c r="N90" s="217"/>
      <c r="O90" s="217"/>
      <c r="P90" s="355"/>
      <c r="Q90" s="217"/>
      <c r="R90" s="217"/>
      <c r="S90" s="217"/>
      <c r="T90" s="217"/>
      <c r="U90" s="217"/>
      <c r="V90" s="217"/>
      <c r="W90" s="217"/>
      <c r="X90" s="217"/>
      <c r="Y90" s="217"/>
      <c r="Z90" s="217"/>
      <c r="AA90" s="217"/>
      <c r="AB90" s="217"/>
      <c r="AC90" s="217"/>
      <c r="AD90" s="217"/>
      <c r="AE90" s="355"/>
      <c r="AF90" s="217"/>
      <c r="AG90" s="217"/>
      <c r="AH90" s="217"/>
      <c r="AI90" s="217"/>
      <c r="AJ90" s="217"/>
      <c r="AK90" s="217"/>
      <c r="AL90" s="217"/>
      <c r="AM90" s="217"/>
      <c r="AN90" s="217"/>
      <c r="AO90" s="217"/>
      <c r="AP90" s="217"/>
      <c r="AQ90" s="217"/>
      <c r="AR90" s="217"/>
      <c r="AS90" s="217"/>
      <c r="AT90" s="355"/>
      <c r="AU90" s="217"/>
      <c r="AV90" s="217"/>
      <c r="AW90" s="217"/>
      <c r="AX90" s="217"/>
      <c r="AY90" s="217"/>
      <c r="AZ90" s="217"/>
      <c r="BA90" s="217"/>
      <c r="BB90" s="217"/>
      <c r="BC90" s="217"/>
      <c r="BD90" s="217"/>
      <c r="BE90" s="217"/>
      <c r="BF90" s="217"/>
      <c r="BG90" s="217"/>
      <c r="BH90" s="217"/>
    </row>
    <row r="91" spans="1:60">
      <c r="A91" s="254">
        <v>81</v>
      </c>
      <c r="B91" s="242"/>
      <c r="C91" s="243"/>
      <c r="D91" s="243"/>
      <c r="E91" s="357"/>
      <c r="F91" s="217"/>
      <c r="G91" s="217"/>
      <c r="H91" s="217"/>
      <c r="I91" s="217"/>
      <c r="J91" s="217"/>
      <c r="K91" s="217"/>
      <c r="L91" s="217"/>
      <c r="M91" s="217"/>
      <c r="N91" s="217"/>
      <c r="O91" s="217"/>
      <c r="P91" s="355"/>
      <c r="Q91" s="217"/>
      <c r="R91" s="217"/>
      <c r="S91" s="217"/>
      <c r="T91" s="217"/>
      <c r="U91" s="217"/>
      <c r="V91" s="217"/>
      <c r="W91" s="217"/>
      <c r="X91" s="217"/>
      <c r="Y91" s="217"/>
      <c r="Z91" s="217"/>
      <c r="AA91" s="217"/>
      <c r="AB91" s="217"/>
      <c r="AC91" s="217"/>
      <c r="AD91" s="217"/>
      <c r="AE91" s="355"/>
      <c r="AF91" s="217"/>
      <c r="AG91" s="217"/>
      <c r="AH91" s="217"/>
      <c r="AI91" s="217"/>
      <c r="AJ91" s="217"/>
      <c r="AK91" s="217"/>
      <c r="AL91" s="217"/>
      <c r="AM91" s="217"/>
      <c r="AN91" s="217"/>
      <c r="AO91" s="217"/>
      <c r="AP91" s="217"/>
      <c r="AQ91" s="217"/>
      <c r="AR91" s="217"/>
      <c r="AS91" s="217"/>
      <c r="AT91" s="355"/>
      <c r="AU91" s="217"/>
      <c r="AV91" s="217"/>
      <c r="AW91" s="217"/>
      <c r="AX91" s="217"/>
      <c r="AY91" s="217"/>
      <c r="AZ91" s="217"/>
      <c r="BA91" s="217"/>
      <c r="BB91" s="217"/>
      <c r="BC91" s="217"/>
      <c r="BD91" s="217"/>
      <c r="BE91" s="217"/>
      <c r="BF91" s="217"/>
      <c r="BG91" s="217"/>
      <c r="BH91" s="217"/>
    </row>
    <row r="92" spans="1:60">
      <c r="A92" s="254">
        <v>82</v>
      </c>
      <c r="B92" s="242"/>
      <c r="C92" s="243"/>
      <c r="D92" s="243"/>
      <c r="E92" s="357"/>
      <c r="F92" s="217"/>
      <c r="G92" s="217"/>
      <c r="H92" s="217"/>
      <c r="I92" s="217"/>
      <c r="J92" s="217"/>
      <c r="K92" s="217"/>
      <c r="L92" s="217"/>
      <c r="M92" s="217"/>
      <c r="N92" s="217"/>
      <c r="O92" s="217"/>
      <c r="P92" s="355"/>
      <c r="Q92" s="217"/>
      <c r="R92" s="217"/>
      <c r="S92" s="217"/>
      <c r="T92" s="217"/>
      <c r="U92" s="217"/>
      <c r="V92" s="217"/>
      <c r="W92" s="217"/>
      <c r="X92" s="217"/>
      <c r="Y92" s="217"/>
      <c r="Z92" s="217"/>
      <c r="AA92" s="217"/>
      <c r="AB92" s="217"/>
      <c r="AC92" s="217"/>
      <c r="AD92" s="217"/>
      <c r="AE92" s="355"/>
      <c r="AF92" s="217"/>
      <c r="AG92" s="217"/>
      <c r="AH92" s="217"/>
      <c r="AI92" s="217"/>
      <c r="AJ92" s="217"/>
      <c r="AK92" s="217"/>
      <c r="AL92" s="217"/>
      <c r="AM92" s="217"/>
      <c r="AN92" s="217"/>
      <c r="AO92" s="217"/>
      <c r="AP92" s="217"/>
      <c r="AQ92" s="217"/>
      <c r="AR92" s="217"/>
      <c r="AS92" s="217"/>
      <c r="AT92" s="355"/>
      <c r="AU92" s="217"/>
      <c r="AV92" s="217"/>
      <c r="AW92" s="217"/>
      <c r="AX92" s="217"/>
      <c r="AY92" s="217"/>
      <c r="AZ92" s="217"/>
      <c r="BA92" s="217"/>
      <c r="BB92" s="217"/>
      <c r="BC92" s="217"/>
      <c r="BD92" s="217"/>
      <c r="BE92" s="217"/>
      <c r="BF92" s="217"/>
      <c r="BG92" s="217"/>
      <c r="BH92" s="217"/>
    </row>
    <row r="93" spans="1:60">
      <c r="A93" s="254">
        <v>83</v>
      </c>
      <c r="B93" s="242"/>
      <c r="C93" s="243"/>
      <c r="D93" s="243"/>
      <c r="E93" s="357"/>
      <c r="F93" s="217"/>
      <c r="G93" s="217"/>
      <c r="H93" s="217"/>
      <c r="I93" s="217"/>
      <c r="J93" s="217"/>
      <c r="K93" s="217"/>
      <c r="L93" s="217"/>
      <c r="M93" s="217"/>
      <c r="N93" s="217"/>
      <c r="O93" s="217"/>
      <c r="P93" s="355"/>
      <c r="Q93" s="217"/>
      <c r="R93" s="217"/>
      <c r="S93" s="217"/>
      <c r="T93" s="217"/>
      <c r="U93" s="217"/>
      <c r="V93" s="217"/>
      <c r="W93" s="217"/>
      <c r="X93" s="217"/>
      <c r="Y93" s="217"/>
      <c r="Z93" s="217"/>
      <c r="AA93" s="217"/>
      <c r="AB93" s="217"/>
      <c r="AC93" s="217"/>
      <c r="AD93" s="217"/>
      <c r="AE93" s="355"/>
      <c r="AF93" s="217"/>
      <c r="AG93" s="217"/>
      <c r="AH93" s="217"/>
      <c r="AI93" s="217"/>
      <c r="AJ93" s="217"/>
      <c r="AK93" s="217"/>
      <c r="AL93" s="217"/>
      <c r="AM93" s="217"/>
      <c r="AN93" s="217"/>
      <c r="AO93" s="217"/>
      <c r="AP93" s="217"/>
      <c r="AQ93" s="217"/>
      <c r="AR93" s="217"/>
      <c r="AS93" s="217"/>
      <c r="AT93" s="355"/>
      <c r="AU93" s="217"/>
      <c r="AV93" s="217"/>
      <c r="AW93" s="217"/>
      <c r="AX93" s="217"/>
      <c r="AY93" s="217"/>
      <c r="AZ93" s="217"/>
      <c r="BA93" s="217"/>
      <c r="BB93" s="217"/>
      <c r="BC93" s="217"/>
      <c r="BD93" s="217"/>
      <c r="BE93" s="217"/>
      <c r="BF93" s="217"/>
      <c r="BG93" s="217"/>
      <c r="BH93" s="217"/>
    </row>
    <row r="94" spans="1:60">
      <c r="A94" s="254">
        <v>84</v>
      </c>
      <c r="B94" s="242"/>
      <c r="C94" s="243"/>
      <c r="D94" s="243"/>
      <c r="E94" s="357"/>
      <c r="F94" s="217"/>
      <c r="G94" s="217"/>
      <c r="H94" s="217"/>
      <c r="I94" s="217"/>
      <c r="J94" s="217"/>
      <c r="K94" s="217"/>
      <c r="L94" s="217"/>
      <c r="M94" s="217"/>
      <c r="N94" s="217"/>
      <c r="O94" s="217"/>
      <c r="P94" s="355"/>
      <c r="Q94" s="217"/>
      <c r="R94" s="217"/>
      <c r="S94" s="217"/>
      <c r="T94" s="217"/>
      <c r="U94" s="217"/>
      <c r="V94" s="217"/>
      <c r="W94" s="217"/>
      <c r="X94" s="217"/>
      <c r="Y94" s="217"/>
      <c r="Z94" s="217"/>
      <c r="AA94" s="217"/>
      <c r="AB94" s="217"/>
      <c r="AC94" s="217"/>
      <c r="AD94" s="217"/>
      <c r="AE94" s="355"/>
      <c r="AF94" s="217"/>
      <c r="AG94" s="217"/>
      <c r="AH94" s="217"/>
      <c r="AI94" s="217"/>
      <c r="AJ94" s="217"/>
      <c r="AK94" s="217"/>
      <c r="AL94" s="217"/>
      <c r="AM94" s="217"/>
      <c r="AN94" s="217"/>
      <c r="AO94" s="217"/>
      <c r="AP94" s="217"/>
      <c r="AQ94" s="217"/>
      <c r="AR94" s="217"/>
      <c r="AS94" s="217"/>
      <c r="AT94" s="355"/>
      <c r="AU94" s="217"/>
      <c r="AV94" s="217"/>
      <c r="AW94" s="217"/>
      <c r="AX94" s="217"/>
      <c r="AY94" s="217"/>
      <c r="AZ94" s="217"/>
      <c r="BA94" s="217"/>
      <c r="BB94" s="217"/>
      <c r="BC94" s="217"/>
      <c r="BD94" s="217"/>
      <c r="BE94" s="217"/>
      <c r="BF94" s="217"/>
      <c r="BG94" s="217"/>
      <c r="BH94" s="217"/>
    </row>
    <row r="95" spans="1:60">
      <c r="A95" s="254">
        <v>85</v>
      </c>
      <c r="B95" s="242"/>
      <c r="C95" s="243"/>
      <c r="D95" s="243"/>
      <c r="E95" s="357"/>
      <c r="F95" s="217"/>
      <c r="G95" s="217"/>
      <c r="H95" s="217"/>
      <c r="I95" s="217"/>
      <c r="J95" s="217"/>
      <c r="K95" s="217"/>
      <c r="L95" s="217"/>
      <c r="M95" s="217"/>
      <c r="N95" s="217"/>
      <c r="O95" s="217"/>
      <c r="P95" s="355"/>
      <c r="Q95" s="217"/>
      <c r="R95" s="217"/>
      <c r="S95" s="217"/>
      <c r="T95" s="217"/>
      <c r="U95" s="217"/>
      <c r="V95" s="217"/>
      <c r="W95" s="217"/>
      <c r="X95" s="217"/>
      <c r="Y95" s="217"/>
      <c r="Z95" s="217"/>
      <c r="AA95" s="217"/>
      <c r="AB95" s="217"/>
      <c r="AC95" s="217"/>
      <c r="AD95" s="217"/>
      <c r="AE95" s="355"/>
      <c r="AF95" s="217"/>
      <c r="AG95" s="217"/>
      <c r="AH95" s="217"/>
      <c r="AI95" s="217"/>
      <c r="AJ95" s="217"/>
      <c r="AK95" s="217"/>
      <c r="AL95" s="217"/>
      <c r="AM95" s="217"/>
      <c r="AN95" s="217"/>
      <c r="AO95" s="217"/>
      <c r="AP95" s="217"/>
      <c r="AQ95" s="217"/>
      <c r="AR95" s="217"/>
      <c r="AS95" s="217"/>
      <c r="AT95" s="355"/>
      <c r="AU95" s="217"/>
      <c r="AV95" s="217"/>
      <c r="AW95" s="217"/>
      <c r="AX95" s="217"/>
      <c r="AY95" s="217"/>
      <c r="AZ95" s="217"/>
      <c r="BA95" s="217"/>
      <c r="BB95" s="217"/>
      <c r="BC95" s="217"/>
      <c r="BD95" s="217"/>
      <c r="BE95" s="217"/>
      <c r="BF95" s="217"/>
      <c r="BG95" s="217"/>
      <c r="BH95" s="217"/>
    </row>
    <row r="96" spans="1:60">
      <c r="A96" s="254">
        <v>86</v>
      </c>
      <c r="B96" s="242"/>
      <c r="C96" s="243"/>
      <c r="D96" s="243"/>
      <c r="E96" s="357"/>
      <c r="F96" s="217"/>
      <c r="G96" s="217"/>
      <c r="H96" s="217"/>
      <c r="I96" s="217"/>
      <c r="J96" s="217"/>
      <c r="K96" s="217"/>
      <c r="L96" s="217"/>
      <c r="M96" s="217"/>
      <c r="N96" s="217"/>
      <c r="O96" s="217"/>
      <c r="P96" s="355"/>
      <c r="Q96" s="217"/>
      <c r="R96" s="217"/>
      <c r="S96" s="217"/>
      <c r="T96" s="217"/>
      <c r="U96" s="217"/>
      <c r="V96" s="217"/>
      <c r="W96" s="217"/>
      <c r="X96" s="217"/>
      <c r="Y96" s="217"/>
      <c r="Z96" s="217"/>
      <c r="AA96" s="217"/>
      <c r="AB96" s="217"/>
      <c r="AC96" s="217"/>
      <c r="AD96" s="217"/>
      <c r="AE96" s="355"/>
      <c r="AF96" s="217"/>
      <c r="AG96" s="217"/>
      <c r="AH96" s="217"/>
      <c r="AI96" s="217"/>
      <c r="AJ96" s="217"/>
      <c r="AK96" s="217"/>
      <c r="AL96" s="217"/>
      <c r="AM96" s="217"/>
      <c r="AN96" s="217"/>
      <c r="AO96" s="217"/>
      <c r="AP96" s="217"/>
      <c r="AQ96" s="217"/>
      <c r="AR96" s="217"/>
      <c r="AS96" s="217"/>
      <c r="AT96" s="355"/>
      <c r="AU96" s="217"/>
      <c r="AV96" s="217"/>
      <c r="AW96" s="217"/>
      <c r="AX96" s="217"/>
      <c r="AY96" s="217"/>
      <c r="AZ96" s="217"/>
      <c r="BA96" s="217"/>
      <c r="BB96" s="217"/>
      <c r="BC96" s="217"/>
      <c r="BD96" s="217"/>
      <c r="BE96" s="217"/>
      <c r="BF96" s="217"/>
      <c r="BG96" s="217"/>
      <c r="BH96" s="217"/>
    </row>
    <row r="97" spans="1:60">
      <c r="A97" s="254">
        <v>87</v>
      </c>
      <c r="B97" s="242"/>
      <c r="C97" s="243"/>
      <c r="D97" s="243"/>
      <c r="E97" s="357"/>
      <c r="F97" s="217"/>
      <c r="G97" s="217"/>
      <c r="H97" s="217"/>
      <c r="I97" s="217"/>
      <c r="J97" s="217"/>
      <c r="K97" s="217"/>
      <c r="L97" s="217"/>
      <c r="M97" s="217"/>
      <c r="N97" s="217"/>
      <c r="O97" s="217"/>
      <c r="P97" s="355"/>
      <c r="Q97" s="217"/>
      <c r="R97" s="217"/>
      <c r="S97" s="217"/>
      <c r="T97" s="217"/>
      <c r="U97" s="217"/>
      <c r="V97" s="217"/>
      <c r="W97" s="217"/>
      <c r="X97" s="217"/>
      <c r="Y97" s="217"/>
      <c r="Z97" s="217"/>
      <c r="AA97" s="217"/>
      <c r="AB97" s="217"/>
      <c r="AC97" s="217"/>
      <c r="AD97" s="217"/>
      <c r="AE97" s="355"/>
      <c r="AF97" s="217"/>
      <c r="AG97" s="217"/>
      <c r="AH97" s="217"/>
      <c r="AI97" s="217"/>
      <c r="AJ97" s="217"/>
      <c r="AK97" s="217"/>
      <c r="AL97" s="217"/>
      <c r="AM97" s="217"/>
      <c r="AN97" s="217"/>
      <c r="AO97" s="217"/>
      <c r="AP97" s="217"/>
      <c r="AQ97" s="217"/>
      <c r="AR97" s="217"/>
      <c r="AS97" s="217"/>
      <c r="AT97" s="355"/>
      <c r="AU97" s="217"/>
      <c r="AV97" s="217"/>
      <c r="AW97" s="217"/>
      <c r="AX97" s="217"/>
      <c r="AY97" s="217"/>
      <c r="AZ97" s="217"/>
      <c r="BA97" s="217"/>
      <c r="BB97" s="217"/>
      <c r="BC97" s="217"/>
      <c r="BD97" s="217"/>
      <c r="BE97" s="217"/>
      <c r="BF97" s="217"/>
      <c r="BG97" s="217"/>
      <c r="BH97" s="217"/>
    </row>
    <row r="98" spans="1:60">
      <c r="A98" s="254">
        <v>88</v>
      </c>
      <c r="B98" s="242"/>
      <c r="C98" s="243"/>
      <c r="D98" s="243"/>
      <c r="E98" s="357"/>
      <c r="F98" s="217"/>
      <c r="G98" s="217"/>
      <c r="H98" s="217"/>
      <c r="I98" s="217"/>
      <c r="J98" s="217"/>
      <c r="K98" s="217"/>
      <c r="L98" s="217"/>
      <c r="M98" s="217"/>
      <c r="N98" s="217"/>
      <c r="O98" s="217"/>
      <c r="P98" s="355"/>
      <c r="Q98" s="217"/>
      <c r="R98" s="217"/>
      <c r="S98" s="217"/>
      <c r="T98" s="217"/>
      <c r="U98" s="217"/>
      <c r="V98" s="217"/>
      <c r="W98" s="217"/>
      <c r="X98" s="217"/>
      <c r="Y98" s="217"/>
      <c r="Z98" s="217"/>
      <c r="AA98" s="217"/>
      <c r="AB98" s="217"/>
      <c r="AC98" s="217"/>
      <c r="AD98" s="217"/>
      <c r="AE98" s="355"/>
      <c r="AF98" s="217"/>
      <c r="AG98" s="217"/>
      <c r="AH98" s="217"/>
      <c r="AI98" s="217"/>
      <c r="AJ98" s="217"/>
      <c r="AK98" s="217"/>
      <c r="AL98" s="217"/>
      <c r="AM98" s="217"/>
      <c r="AN98" s="217"/>
      <c r="AO98" s="217"/>
      <c r="AP98" s="217"/>
      <c r="AQ98" s="217"/>
      <c r="AR98" s="217"/>
      <c r="AS98" s="217"/>
      <c r="AT98" s="355"/>
      <c r="AU98" s="217"/>
      <c r="AV98" s="217"/>
      <c r="AW98" s="217"/>
      <c r="AX98" s="217"/>
      <c r="AY98" s="217"/>
      <c r="AZ98" s="217"/>
      <c r="BA98" s="217"/>
      <c r="BB98" s="217"/>
      <c r="BC98" s="217"/>
      <c r="BD98" s="217"/>
      <c r="BE98" s="217"/>
      <c r="BF98" s="217"/>
      <c r="BG98" s="217"/>
      <c r="BH98" s="217"/>
    </row>
    <row r="99" spans="1:60">
      <c r="A99" s="254">
        <v>89</v>
      </c>
      <c r="B99" s="242"/>
      <c r="C99" s="243"/>
      <c r="D99" s="243"/>
      <c r="E99" s="357"/>
      <c r="F99" s="217"/>
      <c r="G99" s="217"/>
      <c r="H99" s="217"/>
      <c r="I99" s="217"/>
      <c r="J99" s="217"/>
      <c r="K99" s="217"/>
      <c r="L99" s="217"/>
      <c r="M99" s="217"/>
      <c r="N99" s="217"/>
      <c r="O99" s="217"/>
      <c r="P99" s="355"/>
      <c r="Q99" s="217"/>
      <c r="R99" s="217"/>
      <c r="S99" s="217"/>
      <c r="T99" s="217"/>
      <c r="U99" s="217"/>
      <c r="V99" s="217"/>
      <c r="W99" s="217"/>
      <c r="X99" s="217"/>
      <c r="Y99" s="217"/>
      <c r="Z99" s="217"/>
      <c r="AA99" s="217"/>
      <c r="AB99" s="217"/>
      <c r="AC99" s="217"/>
      <c r="AD99" s="217"/>
      <c r="AE99" s="355"/>
      <c r="AF99" s="217"/>
      <c r="AG99" s="217"/>
      <c r="AH99" s="217"/>
      <c r="AI99" s="217"/>
      <c r="AJ99" s="217"/>
      <c r="AK99" s="217"/>
      <c r="AL99" s="217"/>
      <c r="AM99" s="217"/>
      <c r="AN99" s="217"/>
      <c r="AO99" s="217"/>
      <c r="AP99" s="217"/>
      <c r="AQ99" s="217"/>
      <c r="AR99" s="217"/>
      <c r="AS99" s="217"/>
      <c r="AT99" s="355"/>
      <c r="AU99" s="217"/>
      <c r="AV99" s="217"/>
      <c r="AW99" s="217"/>
      <c r="AX99" s="217"/>
      <c r="AY99" s="217"/>
      <c r="AZ99" s="217"/>
      <c r="BA99" s="217"/>
      <c r="BB99" s="217"/>
      <c r="BC99" s="217"/>
      <c r="BD99" s="217"/>
      <c r="BE99" s="217"/>
      <c r="BF99" s="217"/>
      <c r="BG99" s="217"/>
      <c r="BH99" s="217"/>
    </row>
    <row r="100" spans="1:60">
      <c r="A100" s="254">
        <v>90</v>
      </c>
      <c r="B100" s="242"/>
      <c r="C100" s="243"/>
      <c r="D100" s="243"/>
      <c r="E100" s="357"/>
      <c r="F100" s="217"/>
      <c r="G100" s="217"/>
      <c r="H100" s="217"/>
      <c r="I100" s="217"/>
      <c r="J100" s="217"/>
      <c r="K100" s="217"/>
      <c r="L100" s="217"/>
      <c r="M100" s="217"/>
      <c r="N100" s="217"/>
      <c r="O100" s="217"/>
      <c r="P100" s="355"/>
      <c r="Q100" s="217"/>
      <c r="R100" s="217"/>
      <c r="S100" s="217"/>
      <c r="T100" s="217"/>
      <c r="U100" s="217"/>
      <c r="V100" s="217"/>
      <c r="W100" s="217"/>
      <c r="X100" s="217"/>
      <c r="Y100" s="217"/>
      <c r="Z100" s="217"/>
      <c r="AA100" s="217"/>
      <c r="AB100" s="217"/>
      <c r="AC100" s="217"/>
      <c r="AD100" s="217"/>
      <c r="AE100" s="355"/>
      <c r="AF100" s="217"/>
      <c r="AG100" s="217"/>
      <c r="AH100" s="217"/>
      <c r="AI100" s="217"/>
      <c r="AJ100" s="217"/>
      <c r="AK100" s="217"/>
      <c r="AL100" s="217"/>
      <c r="AM100" s="217"/>
      <c r="AN100" s="217"/>
      <c r="AO100" s="217"/>
      <c r="AP100" s="217"/>
      <c r="AQ100" s="217"/>
      <c r="AR100" s="217"/>
      <c r="AS100" s="217"/>
      <c r="AT100" s="355"/>
      <c r="AU100" s="217"/>
      <c r="AV100" s="217"/>
      <c r="AW100" s="217"/>
      <c r="AX100" s="217"/>
      <c r="AY100" s="217"/>
      <c r="AZ100" s="217"/>
      <c r="BA100" s="217"/>
      <c r="BB100" s="217"/>
      <c r="BC100" s="217"/>
      <c r="BD100" s="217"/>
      <c r="BE100" s="217"/>
      <c r="BF100" s="217"/>
      <c r="BG100" s="217"/>
      <c r="BH100" s="217"/>
    </row>
    <row r="101" spans="1:60">
      <c r="A101" s="254">
        <v>91</v>
      </c>
      <c r="B101" s="242"/>
      <c r="C101" s="243"/>
      <c r="D101" s="243"/>
      <c r="E101" s="357"/>
      <c r="F101" s="217"/>
      <c r="G101" s="217"/>
      <c r="H101" s="217"/>
      <c r="I101" s="217"/>
      <c r="J101" s="217"/>
      <c r="K101" s="217"/>
      <c r="L101" s="217"/>
      <c r="M101" s="217"/>
      <c r="N101" s="217"/>
      <c r="O101" s="217"/>
      <c r="P101" s="355"/>
      <c r="Q101" s="217"/>
      <c r="R101" s="217"/>
      <c r="S101" s="217"/>
      <c r="T101" s="217"/>
      <c r="U101" s="217"/>
      <c r="V101" s="217"/>
      <c r="W101" s="217"/>
      <c r="X101" s="217"/>
      <c r="Y101" s="217"/>
      <c r="Z101" s="217"/>
      <c r="AA101" s="217"/>
      <c r="AB101" s="217"/>
      <c r="AC101" s="217"/>
      <c r="AD101" s="217"/>
      <c r="AE101" s="355"/>
      <c r="AF101" s="217"/>
      <c r="AG101" s="217"/>
      <c r="AH101" s="217"/>
      <c r="AI101" s="217"/>
      <c r="AJ101" s="217"/>
      <c r="AK101" s="217"/>
      <c r="AL101" s="217"/>
      <c r="AM101" s="217"/>
      <c r="AN101" s="217"/>
      <c r="AO101" s="217"/>
      <c r="AP101" s="217"/>
      <c r="AQ101" s="217"/>
      <c r="AR101" s="217"/>
      <c r="AS101" s="217"/>
      <c r="AT101" s="355"/>
      <c r="AU101" s="217"/>
      <c r="AV101" s="217"/>
      <c r="AW101" s="217"/>
      <c r="AX101" s="217"/>
      <c r="AY101" s="217"/>
      <c r="AZ101" s="217"/>
      <c r="BA101" s="217"/>
      <c r="BB101" s="217"/>
      <c r="BC101" s="217"/>
      <c r="BD101" s="217"/>
      <c r="BE101" s="217"/>
      <c r="BF101" s="217"/>
      <c r="BG101" s="217"/>
      <c r="BH101" s="217"/>
    </row>
    <row r="102" spans="1:60">
      <c r="A102" s="254">
        <v>92</v>
      </c>
      <c r="B102" s="242"/>
      <c r="C102" s="243"/>
      <c r="D102" s="243"/>
      <c r="E102" s="357"/>
      <c r="F102" s="217"/>
      <c r="G102" s="217"/>
      <c r="H102" s="217"/>
      <c r="I102" s="217"/>
      <c r="J102" s="217"/>
      <c r="K102" s="217"/>
      <c r="L102" s="217"/>
      <c r="M102" s="217"/>
      <c r="N102" s="217"/>
      <c r="O102" s="217"/>
      <c r="P102" s="355"/>
      <c r="Q102" s="217"/>
      <c r="R102" s="217"/>
      <c r="S102" s="217"/>
      <c r="T102" s="217"/>
      <c r="U102" s="217"/>
      <c r="V102" s="217"/>
      <c r="W102" s="217"/>
      <c r="X102" s="217"/>
      <c r="Y102" s="217"/>
      <c r="Z102" s="217"/>
      <c r="AA102" s="217"/>
      <c r="AB102" s="217"/>
      <c r="AC102" s="217"/>
      <c r="AD102" s="217"/>
      <c r="AE102" s="355"/>
      <c r="AF102" s="217"/>
      <c r="AG102" s="217"/>
      <c r="AH102" s="217"/>
      <c r="AI102" s="217"/>
      <c r="AJ102" s="217"/>
      <c r="AK102" s="217"/>
      <c r="AL102" s="217"/>
      <c r="AM102" s="217"/>
      <c r="AN102" s="217"/>
      <c r="AO102" s="217"/>
      <c r="AP102" s="217"/>
      <c r="AQ102" s="217"/>
      <c r="AR102" s="217"/>
      <c r="AS102" s="217"/>
      <c r="AT102" s="355"/>
      <c r="AU102" s="217"/>
      <c r="AV102" s="217"/>
      <c r="AW102" s="217"/>
      <c r="AX102" s="217"/>
      <c r="AY102" s="217"/>
      <c r="AZ102" s="217"/>
      <c r="BA102" s="217"/>
      <c r="BB102" s="217"/>
      <c r="BC102" s="217"/>
      <c r="BD102" s="217"/>
      <c r="BE102" s="217"/>
      <c r="BF102" s="217"/>
      <c r="BG102" s="217"/>
      <c r="BH102" s="217"/>
    </row>
    <row r="103" spans="1:60">
      <c r="A103" s="254">
        <v>93</v>
      </c>
      <c r="B103" s="242"/>
      <c r="C103" s="243"/>
      <c r="D103" s="243"/>
      <c r="E103" s="357"/>
      <c r="F103" s="217"/>
      <c r="G103" s="217"/>
      <c r="H103" s="217"/>
      <c r="I103" s="217"/>
      <c r="J103" s="217"/>
      <c r="K103" s="217"/>
      <c r="L103" s="217"/>
      <c r="M103" s="217"/>
      <c r="N103" s="217"/>
      <c r="O103" s="217"/>
      <c r="P103" s="355"/>
      <c r="Q103" s="217"/>
      <c r="R103" s="217"/>
      <c r="S103" s="217"/>
      <c r="T103" s="217"/>
      <c r="U103" s="217"/>
      <c r="V103" s="217"/>
      <c r="W103" s="217"/>
      <c r="X103" s="217"/>
      <c r="Y103" s="217"/>
      <c r="Z103" s="217"/>
      <c r="AA103" s="217"/>
      <c r="AB103" s="217"/>
      <c r="AC103" s="217"/>
      <c r="AD103" s="217"/>
      <c r="AE103" s="355"/>
      <c r="AF103" s="217"/>
      <c r="AG103" s="217"/>
      <c r="AH103" s="217"/>
      <c r="AI103" s="217"/>
      <c r="AJ103" s="217"/>
      <c r="AK103" s="217"/>
      <c r="AL103" s="217"/>
      <c r="AM103" s="217"/>
      <c r="AN103" s="217"/>
      <c r="AO103" s="217"/>
      <c r="AP103" s="217"/>
      <c r="AQ103" s="217"/>
      <c r="AR103" s="217"/>
      <c r="AS103" s="217"/>
      <c r="AT103" s="355"/>
      <c r="AU103" s="217"/>
      <c r="AV103" s="217"/>
      <c r="AW103" s="217"/>
      <c r="AX103" s="217"/>
      <c r="AY103" s="217"/>
      <c r="AZ103" s="217"/>
      <c r="BA103" s="217"/>
      <c r="BB103" s="217"/>
      <c r="BC103" s="217"/>
      <c r="BD103" s="217"/>
      <c r="BE103" s="217"/>
      <c r="BF103" s="217"/>
      <c r="BG103" s="217"/>
      <c r="BH103" s="217"/>
    </row>
    <row r="104" spans="1:60">
      <c r="A104" s="254">
        <v>94</v>
      </c>
      <c r="B104" s="242"/>
      <c r="C104" s="243"/>
      <c r="D104" s="243"/>
      <c r="E104" s="357"/>
      <c r="F104" s="217"/>
      <c r="G104" s="217"/>
      <c r="H104" s="217"/>
      <c r="I104" s="217"/>
      <c r="J104" s="217"/>
      <c r="K104" s="217"/>
      <c r="L104" s="217"/>
      <c r="M104" s="217"/>
      <c r="N104" s="217"/>
      <c r="O104" s="217"/>
      <c r="P104" s="355"/>
      <c r="Q104" s="217"/>
      <c r="R104" s="217"/>
      <c r="S104" s="217"/>
      <c r="T104" s="217"/>
      <c r="U104" s="217"/>
      <c r="V104" s="217"/>
      <c r="W104" s="217"/>
      <c r="X104" s="217"/>
      <c r="Y104" s="217"/>
      <c r="Z104" s="217"/>
      <c r="AA104" s="217"/>
      <c r="AB104" s="217"/>
      <c r="AC104" s="217"/>
      <c r="AD104" s="217"/>
      <c r="AE104" s="355"/>
      <c r="AF104" s="217"/>
      <c r="AG104" s="217"/>
      <c r="AH104" s="217"/>
      <c r="AI104" s="217"/>
      <c r="AJ104" s="217"/>
      <c r="AK104" s="217"/>
      <c r="AL104" s="217"/>
      <c r="AM104" s="217"/>
      <c r="AN104" s="217"/>
      <c r="AO104" s="217"/>
      <c r="AP104" s="217"/>
      <c r="AQ104" s="217"/>
      <c r="AR104" s="217"/>
      <c r="AS104" s="217"/>
      <c r="AT104" s="355"/>
      <c r="AU104" s="217"/>
      <c r="AV104" s="217"/>
      <c r="AW104" s="217"/>
      <c r="AX104" s="217"/>
      <c r="AY104" s="217"/>
      <c r="AZ104" s="217"/>
      <c r="BA104" s="217"/>
      <c r="BB104" s="217"/>
      <c r="BC104" s="217"/>
      <c r="BD104" s="217"/>
      <c r="BE104" s="217"/>
      <c r="BF104" s="217"/>
      <c r="BG104" s="217"/>
      <c r="BH104" s="217"/>
    </row>
    <row r="105" spans="1:60">
      <c r="A105" s="254">
        <v>95</v>
      </c>
      <c r="B105" s="242"/>
      <c r="C105" s="243"/>
      <c r="D105" s="243"/>
      <c r="E105" s="357"/>
      <c r="F105" s="217"/>
      <c r="G105" s="217"/>
      <c r="H105" s="217"/>
      <c r="I105" s="217"/>
      <c r="J105" s="217"/>
      <c r="K105" s="217"/>
      <c r="L105" s="217"/>
      <c r="M105" s="217"/>
      <c r="N105" s="217"/>
      <c r="O105" s="217"/>
      <c r="P105" s="355"/>
      <c r="Q105" s="217"/>
      <c r="R105" s="217"/>
      <c r="S105" s="217"/>
      <c r="T105" s="217"/>
      <c r="U105" s="217"/>
      <c r="V105" s="217"/>
      <c r="W105" s="217"/>
      <c r="X105" s="217"/>
      <c r="Y105" s="217"/>
      <c r="Z105" s="217"/>
      <c r="AA105" s="217"/>
      <c r="AB105" s="217"/>
      <c r="AC105" s="217"/>
      <c r="AD105" s="217"/>
      <c r="AE105" s="355"/>
      <c r="AF105" s="217"/>
      <c r="AG105" s="217"/>
      <c r="AH105" s="217"/>
      <c r="AI105" s="217"/>
      <c r="AJ105" s="217"/>
      <c r="AK105" s="217"/>
      <c r="AL105" s="217"/>
      <c r="AM105" s="217"/>
      <c r="AN105" s="217"/>
      <c r="AO105" s="217"/>
      <c r="AP105" s="217"/>
      <c r="AQ105" s="217"/>
      <c r="AR105" s="217"/>
      <c r="AS105" s="217"/>
      <c r="AT105" s="355"/>
      <c r="AU105" s="217"/>
      <c r="AV105" s="217"/>
      <c r="AW105" s="217"/>
      <c r="AX105" s="217"/>
      <c r="AY105" s="217"/>
      <c r="AZ105" s="217"/>
      <c r="BA105" s="217"/>
      <c r="BB105" s="217"/>
      <c r="BC105" s="217"/>
      <c r="BD105" s="217"/>
      <c r="BE105" s="217"/>
      <c r="BF105" s="217"/>
      <c r="BG105" s="217"/>
      <c r="BH105" s="217"/>
    </row>
    <row r="106" spans="1:60">
      <c r="A106" s="254">
        <v>96</v>
      </c>
      <c r="B106" s="242"/>
      <c r="C106" s="243"/>
      <c r="D106" s="243"/>
      <c r="E106" s="357"/>
      <c r="F106" s="217"/>
      <c r="G106" s="217"/>
      <c r="H106" s="217"/>
      <c r="I106" s="217"/>
      <c r="J106" s="217"/>
      <c r="K106" s="217"/>
      <c r="L106" s="217"/>
      <c r="M106" s="217"/>
      <c r="N106" s="217"/>
      <c r="O106" s="217"/>
      <c r="P106" s="355"/>
      <c r="Q106" s="217"/>
      <c r="R106" s="217"/>
      <c r="S106" s="217"/>
      <c r="T106" s="217"/>
      <c r="U106" s="217"/>
      <c r="V106" s="217"/>
      <c r="W106" s="217"/>
      <c r="X106" s="217"/>
      <c r="Y106" s="217"/>
      <c r="Z106" s="217"/>
      <c r="AA106" s="217"/>
      <c r="AB106" s="217"/>
      <c r="AC106" s="217"/>
      <c r="AD106" s="217"/>
      <c r="AE106" s="355"/>
      <c r="AF106" s="217"/>
      <c r="AG106" s="217"/>
      <c r="AH106" s="217"/>
      <c r="AI106" s="217"/>
      <c r="AJ106" s="217"/>
      <c r="AK106" s="217"/>
      <c r="AL106" s="217"/>
      <c r="AM106" s="217"/>
      <c r="AN106" s="217"/>
      <c r="AO106" s="217"/>
      <c r="AP106" s="217"/>
      <c r="AQ106" s="217"/>
      <c r="AR106" s="217"/>
      <c r="AS106" s="217"/>
      <c r="AT106" s="355"/>
      <c r="AU106" s="217"/>
      <c r="AV106" s="217"/>
      <c r="AW106" s="217"/>
      <c r="AX106" s="217"/>
      <c r="AY106" s="217"/>
      <c r="AZ106" s="217"/>
      <c r="BA106" s="217"/>
      <c r="BB106" s="217"/>
      <c r="BC106" s="217"/>
      <c r="BD106" s="217"/>
      <c r="BE106" s="217"/>
      <c r="BF106" s="217"/>
      <c r="BG106" s="217"/>
      <c r="BH106" s="217"/>
    </row>
    <row r="107" spans="1:60">
      <c r="A107" s="254">
        <v>97</v>
      </c>
      <c r="B107" s="242"/>
      <c r="C107" s="243"/>
      <c r="D107" s="243"/>
      <c r="E107" s="357"/>
      <c r="F107" s="217"/>
      <c r="G107" s="217"/>
      <c r="H107" s="217"/>
      <c r="I107" s="217"/>
      <c r="J107" s="217"/>
      <c r="K107" s="217"/>
      <c r="L107" s="217"/>
      <c r="M107" s="217"/>
      <c r="N107" s="217"/>
      <c r="O107" s="217"/>
      <c r="P107" s="355"/>
      <c r="Q107" s="217"/>
      <c r="R107" s="217"/>
      <c r="S107" s="217"/>
      <c r="T107" s="217"/>
      <c r="U107" s="217"/>
      <c r="V107" s="217"/>
      <c r="W107" s="217"/>
      <c r="X107" s="217"/>
      <c r="Y107" s="217"/>
      <c r="Z107" s="217"/>
      <c r="AA107" s="217"/>
      <c r="AB107" s="217"/>
      <c r="AC107" s="217"/>
      <c r="AD107" s="217"/>
      <c r="AE107" s="355"/>
      <c r="AF107" s="217"/>
      <c r="AG107" s="217"/>
      <c r="AH107" s="217"/>
      <c r="AI107" s="217"/>
      <c r="AJ107" s="217"/>
      <c r="AK107" s="217"/>
      <c r="AL107" s="217"/>
      <c r="AM107" s="217"/>
      <c r="AN107" s="217"/>
      <c r="AO107" s="217"/>
      <c r="AP107" s="217"/>
      <c r="AQ107" s="217"/>
      <c r="AR107" s="217"/>
      <c r="AS107" s="217"/>
      <c r="AT107" s="355"/>
      <c r="AU107" s="217"/>
      <c r="AV107" s="217"/>
      <c r="AW107" s="217"/>
      <c r="AX107" s="217"/>
      <c r="AY107" s="217"/>
      <c r="AZ107" s="217"/>
      <c r="BA107" s="217"/>
      <c r="BB107" s="217"/>
      <c r="BC107" s="217"/>
      <c r="BD107" s="217"/>
      <c r="BE107" s="217"/>
      <c r="BF107" s="217"/>
      <c r="BG107" s="217"/>
      <c r="BH107" s="217"/>
    </row>
    <row r="108" spans="1:60">
      <c r="A108" s="254">
        <v>98</v>
      </c>
      <c r="B108" s="242"/>
      <c r="C108" s="243"/>
      <c r="D108" s="243"/>
      <c r="E108" s="357"/>
      <c r="F108" s="217"/>
      <c r="G108" s="217"/>
      <c r="H108" s="217"/>
      <c r="I108" s="217"/>
      <c r="J108" s="217"/>
      <c r="K108" s="217"/>
      <c r="L108" s="217"/>
      <c r="M108" s="217"/>
      <c r="N108" s="217"/>
      <c r="O108" s="217"/>
      <c r="P108" s="355"/>
      <c r="Q108" s="217"/>
      <c r="R108" s="217"/>
      <c r="S108" s="217"/>
      <c r="T108" s="217"/>
      <c r="U108" s="217"/>
      <c r="V108" s="217"/>
      <c r="W108" s="217"/>
      <c r="X108" s="217"/>
      <c r="Y108" s="217"/>
      <c r="Z108" s="217"/>
      <c r="AA108" s="217"/>
      <c r="AB108" s="217"/>
      <c r="AC108" s="217"/>
      <c r="AD108" s="217"/>
      <c r="AE108" s="355"/>
      <c r="AF108" s="217"/>
      <c r="AG108" s="217"/>
      <c r="AH108" s="217"/>
      <c r="AI108" s="217"/>
      <c r="AJ108" s="217"/>
      <c r="AK108" s="217"/>
      <c r="AL108" s="217"/>
      <c r="AM108" s="217"/>
      <c r="AN108" s="217"/>
      <c r="AO108" s="217"/>
      <c r="AP108" s="217"/>
      <c r="AQ108" s="217"/>
      <c r="AR108" s="217"/>
      <c r="AS108" s="217"/>
      <c r="AT108" s="355"/>
      <c r="AU108" s="217"/>
      <c r="AV108" s="217"/>
      <c r="AW108" s="217"/>
      <c r="AX108" s="217"/>
      <c r="AY108" s="217"/>
      <c r="AZ108" s="217"/>
      <c r="BA108" s="217"/>
      <c r="BB108" s="217"/>
      <c r="BC108" s="217"/>
      <c r="BD108" s="217"/>
      <c r="BE108" s="217"/>
      <c r="BF108" s="217"/>
      <c r="BG108" s="217"/>
      <c r="BH108" s="217"/>
    </row>
    <row r="109" spans="1:60">
      <c r="A109" s="254">
        <v>99</v>
      </c>
      <c r="B109" s="242"/>
      <c r="C109" s="243"/>
      <c r="D109" s="243"/>
      <c r="E109" s="357"/>
      <c r="F109" s="217"/>
      <c r="G109" s="217"/>
      <c r="H109" s="217"/>
      <c r="I109" s="217"/>
      <c r="J109" s="217"/>
      <c r="K109" s="217"/>
      <c r="L109" s="217"/>
      <c r="M109" s="217"/>
      <c r="N109" s="217"/>
      <c r="O109" s="217"/>
      <c r="P109" s="355"/>
      <c r="Q109" s="217"/>
      <c r="R109" s="217"/>
      <c r="S109" s="217"/>
      <c r="T109" s="217"/>
      <c r="U109" s="217"/>
      <c r="V109" s="217"/>
      <c r="W109" s="217"/>
      <c r="X109" s="217"/>
      <c r="Y109" s="217"/>
      <c r="Z109" s="217"/>
      <c r="AA109" s="217"/>
      <c r="AB109" s="217"/>
      <c r="AC109" s="217"/>
      <c r="AD109" s="217"/>
      <c r="AE109" s="355"/>
      <c r="AF109" s="217"/>
      <c r="AG109" s="217"/>
      <c r="AH109" s="217"/>
      <c r="AI109" s="217"/>
      <c r="AJ109" s="217"/>
      <c r="AK109" s="217"/>
      <c r="AL109" s="217"/>
      <c r="AM109" s="217"/>
      <c r="AN109" s="217"/>
      <c r="AO109" s="217"/>
      <c r="AP109" s="217"/>
      <c r="AQ109" s="217"/>
      <c r="AR109" s="217"/>
      <c r="AS109" s="217"/>
      <c r="AT109" s="355"/>
      <c r="AU109" s="217"/>
      <c r="AV109" s="217"/>
      <c r="AW109" s="217"/>
      <c r="AX109" s="217"/>
      <c r="AY109" s="217"/>
      <c r="AZ109" s="217"/>
      <c r="BA109" s="217"/>
      <c r="BB109" s="217"/>
      <c r="BC109" s="217"/>
      <c r="BD109" s="217"/>
      <c r="BE109" s="217"/>
      <c r="BF109" s="217"/>
      <c r="BG109" s="217"/>
      <c r="BH109" s="217"/>
    </row>
    <row r="110" spans="1:60">
      <c r="A110" s="358">
        <v>100</v>
      </c>
      <c r="B110" s="359"/>
      <c r="C110" s="360"/>
      <c r="D110" s="360"/>
      <c r="E110" s="361"/>
      <c r="F110" s="217"/>
      <c r="G110" s="217"/>
      <c r="H110" s="217"/>
      <c r="I110" s="217"/>
      <c r="J110" s="217"/>
      <c r="K110" s="217"/>
      <c r="L110" s="217"/>
      <c r="M110" s="217"/>
      <c r="N110" s="217"/>
      <c r="O110" s="217"/>
      <c r="P110" s="355"/>
      <c r="Q110" s="217"/>
      <c r="R110" s="217"/>
      <c r="S110" s="217"/>
      <c r="T110" s="217"/>
      <c r="U110" s="217"/>
      <c r="V110" s="217"/>
      <c r="W110" s="217"/>
      <c r="X110" s="217"/>
      <c r="Y110" s="217"/>
      <c r="Z110" s="217"/>
      <c r="AA110" s="217"/>
      <c r="AB110" s="217"/>
      <c r="AC110" s="217"/>
      <c r="AD110" s="217"/>
      <c r="AE110" s="355"/>
      <c r="AF110" s="217"/>
      <c r="AG110" s="217"/>
      <c r="AH110" s="217"/>
      <c r="AI110" s="217"/>
      <c r="AJ110" s="217"/>
      <c r="AK110" s="217"/>
      <c r="AL110" s="217"/>
      <c r="AM110" s="217"/>
      <c r="AN110" s="217"/>
      <c r="AO110" s="217"/>
      <c r="AP110" s="217"/>
      <c r="AQ110" s="217"/>
      <c r="AR110" s="217"/>
      <c r="AS110" s="217"/>
      <c r="AT110" s="355"/>
      <c r="AU110" s="217"/>
      <c r="AV110" s="217"/>
      <c r="AW110" s="217"/>
      <c r="AX110" s="217"/>
      <c r="AY110" s="217"/>
      <c r="AZ110" s="217"/>
      <c r="BA110" s="217"/>
      <c r="BB110" s="217"/>
      <c r="BC110" s="217"/>
      <c r="BD110" s="217"/>
      <c r="BE110" s="217"/>
      <c r="BF110" s="217"/>
      <c r="BG110" s="217"/>
      <c r="BH110" s="217"/>
    </row>
    <row r="111" spans="1:60">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row>
  </sheetData>
  <mergeCells count="7">
    <mergeCell ref="AF9:AR9"/>
    <mergeCell ref="AU9:BG9"/>
    <mergeCell ref="B3:D3"/>
    <mergeCell ref="B4:D4"/>
    <mergeCell ref="B5:D5"/>
    <mergeCell ref="G6:I6"/>
    <mergeCell ref="Q9:AC9"/>
  </mergeCells>
  <phoneticPr fontId="3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AU111"/>
  <sheetViews>
    <sheetView workbookViewId="0">
      <selection activeCell="B5" sqref="B5:D5"/>
    </sheetView>
  </sheetViews>
  <sheetFormatPr defaultRowHeight="12.5"/>
  <cols>
    <col min="1" max="1" width="12.453125" customWidth="1"/>
    <col min="2" max="2" width="8.81640625" bestFit="1" customWidth="1"/>
    <col min="3" max="5" width="9.453125" bestFit="1" customWidth="1"/>
    <col min="6" max="16" width="6.7265625" customWidth="1"/>
    <col min="17" max="17" width="3.7265625" customWidth="1"/>
    <col min="18" max="18" width="12.453125" customWidth="1"/>
    <col min="19" max="31" width="6.7265625" customWidth="1"/>
    <col min="32" max="32" width="3.7265625" customWidth="1"/>
    <col min="33" max="33" width="12.453125" customWidth="1"/>
    <col min="34" max="46" width="6.7265625" customWidth="1"/>
  </cols>
  <sheetData>
    <row r="1" spans="1:47" ht="18">
      <c r="A1" s="34" t="s">
        <v>149</v>
      </c>
      <c r="B1" s="6"/>
      <c r="C1" s="4"/>
      <c r="D1" s="6"/>
      <c r="E1" s="6"/>
      <c r="F1" s="6"/>
      <c r="G1" s="6"/>
      <c r="H1" s="6"/>
      <c r="I1" s="6"/>
      <c r="J1" s="222"/>
      <c r="K1" s="222"/>
    </row>
    <row r="2" spans="1:47" ht="16" thickBot="1">
      <c r="A2" s="350" t="s">
        <v>151</v>
      </c>
      <c r="B2" s="6"/>
      <c r="C2" s="11"/>
      <c r="D2" s="6"/>
      <c r="E2" s="6"/>
      <c r="F2" s="6"/>
      <c r="G2" s="6"/>
      <c r="H2" s="6"/>
      <c r="I2" s="6"/>
      <c r="J2" s="222"/>
      <c r="K2" s="222"/>
    </row>
    <row r="3" spans="1:47" ht="16" thickBot="1">
      <c r="A3" s="346" t="s">
        <v>135</v>
      </c>
      <c r="B3" s="389" t="str">
        <f>'START HERE'!F6</f>
        <v>Korea</v>
      </c>
      <c r="C3" s="401"/>
      <c r="D3" s="390"/>
      <c r="E3" s="222"/>
      <c r="F3" s="31" t="s">
        <v>45</v>
      </c>
      <c r="G3" s="196" t="s">
        <v>153</v>
      </c>
      <c r="H3" s="199"/>
      <c r="I3" s="197"/>
      <c r="J3" s="222"/>
      <c r="K3" s="222"/>
    </row>
    <row r="4" spans="1:47" ht="15.5">
      <c r="A4" s="12" t="s">
        <v>22</v>
      </c>
      <c r="B4" s="389" t="str">
        <f>'START HERE'!F5</f>
        <v>Jack mackerel</v>
      </c>
      <c r="C4" s="401"/>
      <c r="D4" s="390"/>
      <c r="E4" s="222"/>
      <c r="F4" s="13"/>
      <c r="G4" s="345"/>
      <c r="H4" s="200"/>
      <c r="I4" s="84"/>
      <c r="J4" s="222"/>
      <c r="K4" s="222"/>
    </row>
    <row r="5" spans="1:47" ht="18">
      <c r="A5" s="12" t="s">
        <v>15</v>
      </c>
      <c r="B5" s="395">
        <f>'START HERE'!K3</f>
        <v>2018</v>
      </c>
      <c r="C5" s="402"/>
      <c r="D5" s="396"/>
      <c r="E5" s="222"/>
      <c r="F5" s="35" t="s">
        <v>46</v>
      </c>
      <c r="G5" s="85" t="s">
        <v>150</v>
      </c>
      <c r="H5" s="198"/>
      <c r="I5" s="86"/>
      <c r="J5" s="222"/>
      <c r="K5" s="222"/>
    </row>
    <row r="6" spans="1:47" ht="16" thickBot="1">
      <c r="A6" s="12"/>
      <c r="B6" s="81"/>
      <c r="C6" s="82"/>
      <c r="D6" s="6"/>
      <c r="F6" s="35" t="s">
        <v>16</v>
      </c>
      <c r="G6" s="384">
        <f>'START HERE'!$F8</f>
        <v>42252</v>
      </c>
      <c r="H6" s="385"/>
      <c r="I6" s="391"/>
      <c r="J6" s="222"/>
      <c r="K6" s="222"/>
    </row>
    <row r="7" spans="1:47">
      <c r="A7" s="6"/>
      <c r="B7" s="6"/>
      <c r="C7" s="6"/>
      <c r="D7" s="6"/>
      <c r="E7" s="6"/>
      <c r="F7" s="6"/>
      <c r="G7" s="6"/>
      <c r="H7" s="6"/>
      <c r="I7" s="6"/>
      <c r="J7" s="222"/>
      <c r="K7" s="222"/>
    </row>
    <row r="8" spans="1:47">
      <c r="A8" s="6"/>
      <c r="B8" s="6"/>
      <c r="C8" s="6"/>
      <c r="D8" s="6"/>
      <c r="E8" s="6"/>
      <c r="F8" s="6"/>
      <c r="G8" s="6"/>
      <c r="H8" s="6"/>
      <c r="I8" s="6"/>
      <c r="J8" s="222"/>
      <c r="K8" s="222"/>
    </row>
    <row r="9" spans="1:47" ht="13">
      <c r="A9" s="27" t="s">
        <v>92</v>
      </c>
      <c r="B9" s="27" t="s">
        <v>60</v>
      </c>
      <c r="C9" s="27" t="s">
        <v>37</v>
      </c>
      <c r="D9" s="27" t="s">
        <v>38</v>
      </c>
      <c r="E9" s="27" t="s">
        <v>39</v>
      </c>
      <c r="F9" s="352"/>
      <c r="G9" s="352"/>
      <c r="H9" s="352"/>
      <c r="I9" s="352"/>
      <c r="J9" s="352"/>
      <c r="K9" s="352"/>
      <c r="L9" s="352"/>
      <c r="M9" s="400"/>
      <c r="N9" s="400"/>
      <c r="O9" s="400"/>
      <c r="P9" s="400"/>
      <c r="Q9" s="217"/>
      <c r="R9" s="353"/>
      <c r="S9" s="400"/>
      <c r="T9" s="400"/>
      <c r="U9" s="400"/>
      <c r="V9" s="400"/>
      <c r="W9" s="400"/>
      <c r="X9" s="400"/>
      <c r="Y9" s="400"/>
      <c r="Z9" s="400"/>
      <c r="AA9" s="400"/>
      <c r="AB9" s="400"/>
      <c r="AC9" s="400"/>
      <c r="AD9" s="400"/>
      <c r="AE9" s="400"/>
      <c r="AF9" s="217"/>
      <c r="AG9" s="353"/>
      <c r="AH9" s="400"/>
      <c r="AI9" s="400"/>
      <c r="AJ9" s="400"/>
      <c r="AK9" s="400"/>
      <c r="AL9" s="400"/>
      <c r="AM9" s="400"/>
      <c r="AN9" s="400"/>
      <c r="AO9" s="400"/>
      <c r="AP9" s="400"/>
      <c r="AQ9" s="400"/>
      <c r="AR9" s="400"/>
      <c r="AS9" s="400"/>
      <c r="AT9" s="400"/>
      <c r="AU9" s="217"/>
    </row>
    <row r="10" spans="1:47" ht="18">
      <c r="A10" s="28" t="s">
        <v>49</v>
      </c>
      <c r="B10" s="228">
        <f>'START HERE'!$K$3</f>
        <v>2018</v>
      </c>
      <c r="C10" s="228">
        <f>'START HERE'!$K$3</f>
        <v>2018</v>
      </c>
      <c r="D10" s="228">
        <f>'START HERE'!$K$3</f>
        <v>2018</v>
      </c>
      <c r="E10" s="227">
        <f>'START HERE'!$K$3</f>
        <v>2018</v>
      </c>
      <c r="F10" s="354"/>
      <c r="G10" s="354"/>
      <c r="H10" s="354"/>
      <c r="I10" s="354"/>
      <c r="J10" s="354"/>
      <c r="K10" s="354"/>
      <c r="L10" s="354"/>
      <c r="M10" s="354"/>
      <c r="N10" s="354"/>
      <c r="O10" s="354"/>
      <c r="P10" s="354"/>
      <c r="Q10" s="217"/>
      <c r="R10" s="353"/>
      <c r="S10" s="354"/>
      <c r="T10" s="354"/>
      <c r="U10" s="354"/>
      <c r="V10" s="354"/>
      <c r="W10" s="354"/>
      <c r="X10" s="354"/>
      <c r="Y10" s="354"/>
      <c r="Z10" s="354"/>
      <c r="AA10" s="354"/>
      <c r="AB10" s="354"/>
      <c r="AC10" s="354"/>
      <c r="AD10" s="354"/>
      <c r="AE10" s="354"/>
      <c r="AF10" s="217"/>
      <c r="AG10" s="353"/>
      <c r="AH10" s="354"/>
      <c r="AI10" s="354"/>
      <c r="AJ10" s="354"/>
      <c r="AK10" s="354"/>
      <c r="AL10" s="354"/>
      <c r="AM10" s="354"/>
      <c r="AN10" s="354"/>
      <c r="AO10" s="354"/>
      <c r="AP10" s="354"/>
      <c r="AQ10" s="354"/>
      <c r="AR10" s="354"/>
      <c r="AS10" s="354"/>
      <c r="AT10" s="354"/>
      <c r="AU10" s="217"/>
    </row>
    <row r="11" spans="1:47">
      <c r="A11" s="254">
        <v>1</v>
      </c>
      <c r="B11" s="244"/>
      <c r="C11" s="245"/>
      <c r="D11" s="245"/>
      <c r="E11" s="356"/>
      <c r="F11" s="217"/>
      <c r="G11" s="217"/>
      <c r="H11" s="217"/>
      <c r="I11" s="217"/>
      <c r="J11" s="217"/>
      <c r="K11" s="217"/>
      <c r="L11" s="217"/>
      <c r="M11" s="217"/>
      <c r="N11" s="217"/>
      <c r="O11" s="217"/>
      <c r="P11" s="217"/>
      <c r="Q11" s="217"/>
      <c r="R11" s="355"/>
      <c r="S11" s="217"/>
      <c r="T11" s="217"/>
      <c r="U11" s="217"/>
      <c r="V11" s="217"/>
      <c r="W11" s="217"/>
      <c r="X11" s="217"/>
      <c r="Y11" s="217"/>
      <c r="Z11" s="217"/>
      <c r="AA11" s="217"/>
      <c r="AB11" s="217"/>
      <c r="AC11" s="217"/>
      <c r="AD11" s="217"/>
      <c r="AE11" s="217"/>
      <c r="AF11" s="217"/>
      <c r="AG11" s="355"/>
      <c r="AH11" s="217"/>
      <c r="AI11" s="217"/>
      <c r="AJ11" s="217"/>
      <c r="AK11" s="217"/>
      <c r="AL11" s="217"/>
      <c r="AM11" s="217"/>
      <c r="AN11" s="217"/>
      <c r="AO11" s="217"/>
      <c r="AP11" s="217"/>
      <c r="AQ11" s="217"/>
      <c r="AR11" s="217"/>
      <c r="AS11" s="217"/>
      <c r="AT11" s="217"/>
      <c r="AU11" s="217"/>
    </row>
    <row r="12" spans="1:47">
      <c r="A12" s="254">
        <v>2</v>
      </c>
      <c r="B12" s="242"/>
      <c r="C12" s="243"/>
      <c r="D12" s="243"/>
      <c r="E12" s="357"/>
      <c r="F12" s="217"/>
      <c r="G12" s="217"/>
      <c r="H12" s="217"/>
      <c r="I12" s="217"/>
      <c r="J12" s="217"/>
      <c r="K12" s="217"/>
      <c r="L12" s="217"/>
      <c r="M12" s="217"/>
      <c r="N12" s="217"/>
      <c r="O12" s="217"/>
      <c r="P12" s="217"/>
      <c r="Q12" s="217"/>
      <c r="R12" s="355"/>
      <c r="S12" s="217"/>
      <c r="T12" s="217"/>
      <c r="U12" s="217"/>
      <c r="V12" s="217"/>
      <c r="W12" s="217"/>
      <c r="X12" s="217"/>
      <c r="Y12" s="217"/>
      <c r="Z12" s="217"/>
      <c r="AA12" s="217"/>
      <c r="AB12" s="217"/>
      <c r="AC12" s="217"/>
      <c r="AD12" s="217"/>
      <c r="AE12" s="217"/>
      <c r="AF12" s="217"/>
      <c r="AG12" s="355"/>
      <c r="AH12" s="217"/>
      <c r="AI12" s="217"/>
      <c r="AJ12" s="217"/>
      <c r="AK12" s="217"/>
      <c r="AL12" s="217"/>
      <c r="AM12" s="217"/>
      <c r="AN12" s="217"/>
      <c r="AO12" s="217"/>
      <c r="AP12" s="217"/>
      <c r="AQ12" s="217"/>
      <c r="AR12" s="217"/>
      <c r="AS12" s="217"/>
      <c r="AT12" s="217"/>
      <c r="AU12" s="217"/>
    </row>
    <row r="13" spans="1:47">
      <c r="A13" s="254">
        <v>3</v>
      </c>
      <c r="B13" s="242"/>
      <c r="C13" s="243"/>
      <c r="D13" s="243"/>
      <c r="E13" s="357"/>
      <c r="F13" s="217"/>
      <c r="G13" s="217"/>
      <c r="H13" s="217"/>
      <c r="I13" s="217"/>
      <c r="J13" s="217"/>
      <c r="K13" s="217"/>
      <c r="L13" s="217"/>
      <c r="M13" s="217"/>
      <c r="N13" s="217"/>
      <c r="O13" s="217"/>
      <c r="P13" s="217"/>
      <c r="Q13" s="217"/>
      <c r="R13" s="355"/>
      <c r="S13" s="217"/>
      <c r="T13" s="217"/>
      <c r="U13" s="217"/>
      <c r="V13" s="217"/>
      <c r="W13" s="217"/>
      <c r="X13" s="217"/>
      <c r="Y13" s="217"/>
      <c r="Z13" s="217"/>
      <c r="AA13" s="217"/>
      <c r="AB13" s="217"/>
      <c r="AC13" s="217"/>
      <c r="AD13" s="217"/>
      <c r="AE13" s="217"/>
      <c r="AF13" s="217"/>
      <c r="AG13" s="355"/>
      <c r="AH13" s="217"/>
      <c r="AI13" s="217"/>
      <c r="AJ13" s="217"/>
      <c r="AK13" s="217"/>
      <c r="AL13" s="217"/>
      <c r="AM13" s="217"/>
      <c r="AN13" s="217"/>
      <c r="AO13" s="217"/>
      <c r="AP13" s="217"/>
      <c r="AQ13" s="217"/>
      <c r="AR13" s="217"/>
      <c r="AS13" s="217"/>
      <c r="AT13" s="217"/>
      <c r="AU13" s="217"/>
    </row>
    <row r="14" spans="1:47">
      <c r="A14" s="254">
        <v>4</v>
      </c>
      <c r="B14" s="242"/>
      <c r="C14" s="243"/>
      <c r="D14" s="243"/>
      <c r="E14" s="357"/>
      <c r="F14" s="217"/>
      <c r="G14" s="217"/>
      <c r="H14" s="217"/>
      <c r="I14" s="217"/>
      <c r="J14" s="217"/>
      <c r="K14" s="217"/>
      <c r="L14" s="217"/>
      <c r="M14" s="217"/>
      <c r="N14" s="217"/>
      <c r="O14" s="217"/>
      <c r="P14" s="217"/>
      <c r="Q14" s="217"/>
      <c r="R14" s="355"/>
      <c r="S14" s="217"/>
      <c r="T14" s="217"/>
      <c r="U14" s="217"/>
      <c r="V14" s="217"/>
      <c r="W14" s="217"/>
      <c r="X14" s="217"/>
      <c r="Y14" s="217"/>
      <c r="Z14" s="217"/>
      <c r="AA14" s="217"/>
      <c r="AB14" s="217"/>
      <c r="AC14" s="217"/>
      <c r="AD14" s="217"/>
      <c r="AE14" s="217"/>
      <c r="AF14" s="217"/>
      <c r="AG14" s="355"/>
      <c r="AH14" s="217"/>
      <c r="AI14" s="217"/>
      <c r="AJ14" s="217"/>
      <c r="AK14" s="217"/>
      <c r="AL14" s="217"/>
      <c r="AM14" s="217"/>
      <c r="AN14" s="217"/>
      <c r="AO14" s="217"/>
      <c r="AP14" s="217"/>
      <c r="AQ14" s="217"/>
      <c r="AR14" s="217"/>
      <c r="AS14" s="217"/>
      <c r="AT14" s="217"/>
      <c r="AU14" s="217"/>
    </row>
    <row r="15" spans="1:47">
      <c r="A15" s="254">
        <v>5</v>
      </c>
      <c r="B15" s="242"/>
      <c r="C15" s="243"/>
      <c r="D15" s="243"/>
      <c r="E15" s="357"/>
      <c r="F15" s="217"/>
      <c r="G15" s="217"/>
      <c r="H15" s="217"/>
      <c r="I15" s="217"/>
      <c r="J15" s="217"/>
      <c r="K15" s="217"/>
      <c r="L15" s="217"/>
      <c r="M15" s="217"/>
      <c r="N15" s="217"/>
      <c r="O15" s="217"/>
      <c r="P15" s="217"/>
      <c r="Q15" s="217"/>
      <c r="R15" s="355"/>
      <c r="S15" s="217"/>
      <c r="T15" s="217"/>
      <c r="U15" s="217"/>
      <c r="V15" s="217"/>
      <c r="W15" s="217"/>
      <c r="X15" s="217"/>
      <c r="Y15" s="217"/>
      <c r="Z15" s="217"/>
      <c r="AA15" s="217"/>
      <c r="AB15" s="217"/>
      <c r="AC15" s="217"/>
      <c r="AD15" s="217"/>
      <c r="AE15" s="217"/>
      <c r="AF15" s="217"/>
      <c r="AG15" s="355"/>
      <c r="AH15" s="217"/>
      <c r="AI15" s="217"/>
      <c r="AJ15" s="217"/>
      <c r="AK15" s="217"/>
      <c r="AL15" s="217"/>
      <c r="AM15" s="217"/>
      <c r="AN15" s="217"/>
      <c r="AO15" s="217"/>
      <c r="AP15" s="217"/>
      <c r="AQ15" s="217"/>
      <c r="AR15" s="217"/>
      <c r="AS15" s="217"/>
      <c r="AT15" s="217"/>
      <c r="AU15" s="217"/>
    </row>
    <row r="16" spans="1:47">
      <c r="A16" s="254">
        <v>6</v>
      </c>
      <c r="B16" s="242"/>
      <c r="C16" s="243"/>
      <c r="D16" s="243"/>
      <c r="E16" s="357"/>
      <c r="F16" s="217"/>
      <c r="G16" s="217"/>
      <c r="H16" s="217"/>
      <c r="I16" s="217"/>
      <c r="J16" s="217"/>
      <c r="K16" s="217"/>
      <c r="L16" s="217"/>
      <c r="M16" s="217"/>
      <c r="N16" s="217"/>
      <c r="O16" s="217"/>
      <c r="P16" s="217"/>
      <c r="Q16" s="217"/>
      <c r="R16" s="355"/>
      <c r="S16" s="217"/>
      <c r="T16" s="217"/>
      <c r="U16" s="217"/>
      <c r="V16" s="217"/>
      <c r="W16" s="217"/>
      <c r="X16" s="217"/>
      <c r="Y16" s="217"/>
      <c r="Z16" s="217"/>
      <c r="AA16" s="217"/>
      <c r="AB16" s="217"/>
      <c r="AC16" s="217"/>
      <c r="AD16" s="217"/>
      <c r="AE16" s="217"/>
      <c r="AF16" s="217"/>
      <c r="AG16" s="355"/>
      <c r="AH16" s="217"/>
      <c r="AI16" s="217"/>
      <c r="AJ16" s="217"/>
      <c r="AK16" s="217"/>
      <c r="AL16" s="217"/>
      <c r="AM16" s="217"/>
      <c r="AN16" s="217"/>
      <c r="AO16" s="217"/>
      <c r="AP16" s="217"/>
      <c r="AQ16" s="217"/>
      <c r="AR16" s="217"/>
      <c r="AS16" s="217"/>
      <c r="AT16" s="217"/>
      <c r="AU16" s="217"/>
    </row>
    <row r="17" spans="1:47">
      <c r="A17" s="254">
        <v>7</v>
      </c>
      <c r="B17" s="242"/>
      <c r="C17" s="243"/>
      <c r="D17" s="243"/>
      <c r="E17" s="357"/>
      <c r="F17" s="217"/>
      <c r="G17" s="217"/>
      <c r="H17" s="217"/>
      <c r="I17" s="217"/>
      <c r="J17" s="217"/>
      <c r="K17" s="217"/>
      <c r="L17" s="217"/>
      <c r="M17" s="217"/>
      <c r="N17" s="217"/>
      <c r="O17" s="217"/>
      <c r="P17" s="217"/>
      <c r="Q17" s="217"/>
      <c r="R17" s="355"/>
      <c r="S17" s="217"/>
      <c r="T17" s="217"/>
      <c r="U17" s="217"/>
      <c r="V17" s="217"/>
      <c r="W17" s="217"/>
      <c r="X17" s="217"/>
      <c r="Y17" s="217"/>
      <c r="Z17" s="217"/>
      <c r="AA17" s="217"/>
      <c r="AB17" s="217"/>
      <c r="AC17" s="217"/>
      <c r="AD17" s="217"/>
      <c r="AE17" s="217"/>
      <c r="AF17" s="217"/>
      <c r="AG17" s="355"/>
      <c r="AH17" s="217"/>
      <c r="AI17" s="217"/>
      <c r="AJ17" s="217"/>
      <c r="AK17" s="217"/>
      <c r="AL17" s="217"/>
      <c r="AM17" s="217"/>
      <c r="AN17" s="217"/>
      <c r="AO17" s="217"/>
      <c r="AP17" s="217"/>
      <c r="AQ17" s="217"/>
      <c r="AR17" s="217"/>
      <c r="AS17" s="217"/>
      <c r="AT17" s="217"/>
      <c r="AU17" s="217"/>
    </row>
    <row r="18" spans="1:47">
      <c r="A18" s="254">
        <v>8</v>
      </c>
      <c r="B18" s="242"/>
      <c r="C18" s="243"/>
      <c r="D18" s="243"/>
      <c r="E18" s="357"/>
      <c r="F18" s="217"/>
      <c r="G18" s="217"/>
      <c r="H18" s="217"/>
      <c r="I18" s="217"/>
      <c r="J18" s="217"/>
      <c r="K18" s="217"/>
      <c r="L18" s="217"/>
      <c r="M18" s="217"/>
      <c r="N18" s="217"/>
      <c r="O18" s="217"/>
      <c r="P18" s="217"/>
      <c r="Q18" s="217"/>
      <c r="R18" s="355"/>
      <c r="S18" s="217"/>
      <c r="T18" s="217"/>
      <c r="U18" s="217"/>
      <c r="V18" s="217"/>
      <c r="W18" s="217"/>
      <c r="X18" s="217"/>
      <c r="Y18" s="217"/>
      <c r="Z18" s="217"/>
      <c r="AA18" s="217"/>
      <c r="AB18" s="217"/>
      <c r="AC18" s="217"/>
      <c r="AD18" s="217"/>
      <c r="AE18" s="217"/>
      <c r="AF18" s="217"/>
      <c r="AG18" s="355"/>
      <c r="AH18" s="217"/>
      <c r="AI18" s="217"/>
      <c r="AJ18" s="217"/>
      <c r="AK18" s="217"/>
      <c r="AL18" s="217"/>
      <c r="AM18" s="217"/>
      <c r="AN18" s="217"/>
      <c r="AO18" s="217"/>
      <c r="AP18" s="217"/>
      <c r="AQ18" s="217"/>
      <c r="AR18" s="217"/>
      <c r="AS18" s="217"/>
      <c r="AT18" s="217"/>
      <c r="AU18" s="217"/>
    </row>
    <row r="19" spans="1:47">
      <c r="A19" s="254">
        <v>9</v>
      </c>
      <c r="B19" s="242"/>
      <c r="C19" s="243"/>
      <c r="D19" s="243"/>
      <c r="E19" s="357"/>
      <c r="F19" s="217"/>
      <c r="G19" s="217"/>
      <c r="H19" s="217"/>
      <c r="I19" s="217"/>
      <c r="J19" s="217"/>
      <c r="K19" s="217"/>
      <c r="L19" s="217"/>
      <c r="M19" s="217"/>
      <c r="N19" s="217"/>
      <c r="O19" s="217"/>
      <c r="P19" s="217"/>
      <c r="Q19" s="217"/>
      <c r="R19" s="355"/>
      <c r="S19" s="217"/>
      <c r="T19" s="217"/>
      <c r="U19" s="217"/>
      <c r="V19" s="217"/>
      <c r="W19" s="217"/>
      <c r="X19" s="217"/>
      <c r="Y19" s="217"/>
      <c r="Z19" s="217"/>
      <c r="AA19" s="217"/>
      <c r="AB19" s="217"/>
      <c r="AC19" s="217"/>
      <c r="AD19" s="217"/>
      <c r="AE19" s="217"/>
      <c r="AF19" s="217"/>
      <c r="AG19" s="355"/>
      <c r="AH19" s="217"/>
      <c r="AI19" s="217"/>
      <c r="AJ19" s="217"/>
      <c r="AK19" s="217"/>
      <c r="AL19" s="217"/>
      <c r="AM19" s="217"/>
      <c r="AN19" s="217"/>
      <c r="AO19" s="217"/>
      <c r="AP19" s="217"/>
      <c r="AQ19" s="217"/>
      <c r="AR19" s="217"/>
      <c r="AS19" s="217"/>
      <c r="AT19" s="217"/>
      <c r="AU19" s="217"/>
    </row>
    <row r="20" spans="1:47">
      <c r="A20" s="254">
        <v>10</v>
      </c>
      <c r="B20" s="242"/>
      <c r="C20" s="243"/>
      <c r="D20" s="243"/>
      <c r="E20" s="357"/>
      <c r="F20" s="217"/>
      <c r="G20" s="217"/>
      <c r="H20" s="217"/>
      <c r="I20" s="217"/>
      <c r="J20" s="217"/>
      <c r="K20" s="217"/>
      <c r="L20" s="217"/>
      <c r="M20" s="217"/>
      <c r="N20" s="217"/>
      <c r="O20" s="217"/>
      <c r="P20" s="217"/>
      <c r="Q20" s="217"/>
      <c r="R20" s="355"/>
      <c r="S20" s="217"/>
      <c r="T20" s="217"/>
      <c r="U20" s="217"/>
      <c r="V20" s="217"/>
      <c r="W20" s="217"/>
      <c r="X20" s="217"/>
      <c r="Y20" s="217"/>
      <c r="Z20" s="217"/>
      <c r="AA20" s="217"/>
      <c r="AB20" s="217"/>
      <c r="AC20" s="217"/>
      <c r="AD20" s="217"/>
      <c r="AE20" s="217"/>
      <c r="AF20" s="217"/>
      <c r="AG20" s="355"/>
      <c r="AH20" s="217"/>
      <c r="AI20" s="217"/>
      <c r="AJ20" s="217"/>
      <c r="AK20" s="217"/>
      <c r="AL20" s="217"/>
      <c r="AM20" s="217"/>
      <c r="AN20" s="217"/>
      <c r="AO20" s="217"/>
      <c r="AP20" s="217"/>
      <c r="AQ20" s="217"/>
      <c r="AR20" s="217"/>
      <c r="AS20" s="217"/>
      <c r="AT20" s="217"/>
      <c r="AU20" s="217"/>
    </row>
    <row r="21" spans="1:47">
      <c r="A21" s="254">
        <v>11</v>
      </c>
      <c r="B21" s="242"/>
      <c r="C21" s="243"/>
      <c r="D21" s="243"/>
      <c r="E21" s="357"/>
      <c r="F21" s="217"/>
      <c r="G21" s="217"/>
      <c r="H21" s="217"/>
      <c r="I21" s="217"/>
      <c r="J21" s="217"/>
      <c r="K21" s="217"/>
      <c r="L21" s="217"/>
      <c r="M21" s="217"/>
      <c r="N21" s="217"/>
      <c r="O21" s="217"/>
      <c r="P21" s="217"/>
      <c r="Q21" s="217"/>
      <c r="R21" s="355"/>
      <c r="S21" s="217"/>
      <c r="T21" s="217"/>
      <c r="U21" s="217"/>
      <c r="V21" s="217"/>
      <c r="W21" s="217"/>
      <c r="X21" s="217"/>
      <c r="Y21" s="217"/>
      <c r="Z21" s="217"/>
      <c r="AA21" s="217"/>
      <c r="AB21" s="217"/>
      <c r="AC21" s="217"/>
      <c r="AD21" s="217"/>
      <c r="AE21" s="217"/>
      <c r="AF21" s="217"/>
      <c r="AG21" s="355"/>
      <c r="AH21" s="217"/>
      <c r="AI21" s="217"/>
      <c r="AJ21" s="217"/>
      <c r="AK21" s="217"/>
      <c r="AL21" s="217"/>
      <c r="AM21" s="217"/>
      <c r="AN21" s="217"/>
      <c r="AO21" s="217"/>
      <c r="AP21" s="217"/>
      <c r="AQ21" s="217"/>
      <c r="AR21" s="217"/>
      <c r="AS21" s="217"/>
      <c r="AT21" s="217"/>
      <c r="AU21" s="217"/>
    </row>
    <row r="22" spans="1:47">
      <c r="A22" s="254">
        <v>12</v>
      </c>
      <c r="B22" s="242"/>
      <c r="C22" s="243"/>
      <c r="D22" s="243"/>
      <c r="E22" s="357"/>
      <c r="F22" s="217"/>
      <c r="G22" s="217"/>
      <c r="H22" s="217"/>
      <c r="I22" s="217"/>
      <c r="J22" s="217"/>
      <c r="K22" s="217"/>
      <c r="L22" s="217"/>
      <c r="M22" s="217"/>
      <c r="N22" s="217"/>
      <c r="O22" s="217"/>
      <c r="P22" s="217"/>
      <c r="Q22" s="217"/>
      <c r="R22" s="355"/>
      <c r="S22" s="217"/>
      <c r="T22" s="217"/>
      <c r="U22" s="217"/>
      <c r="V22" s="217"/>
      <c r="W22" s="217"/>
      <c r="X22" s="217"/>
      <c r="Y22" s="217"/>
      <c r="Z22" s="217"/>
      <c r="AA22" s="217"/>
      <c r="AB22" s="217"/>
      <c r="AC22" s="217"/>
      <c r="AD22" s="217"/>
      <c r="AE22" s="217"/>
      <c r="AF22" s="217"/>
      <c r="AG22" s="355"/>
      <c r="AH22" s="217"/>
      <c r="AI22" s="217"/>
      <c r="AJ22" s="217"/>
      <c r="AK22" s="217"/>
      <c r="AL22" s="217"/>
      <c r="AM22" s="217"/>
      <c r="AN22" s="217"/>
      <c r="AO22" s="217"/>
      <c r="AP22" s="217"/>
      <c r="AQ22" s="217"/>
      <c r="AR22" s="217"/>
      <c r="AS22" s="217"/>
      <c r="AT22" s="217"/>
      <c r="AU22" s="217"/>
    </row>
    <row r="23" spans="1:47">
      <c r="A23" s="254">
        <v>13</v>
      </c>
      <c r="B23" s="242"/>
      <c r="C23" s="243"/>
      <c r="D23" s="243"/>
      <c r="E23" s="357"/>
      <c r="F23" s="217"/>
      <c r="G23" s="217"/>
      <c r="H23" s="217"/>
      <c r="I23" s="217"/>
      <c r="J23" s="217"/>
      <c r="K23" s="217"/>
      <c r="L23" s="217"/>
      <c r="M23" s="217"/>
      <c r="N23" s="217"/>
      <c r="O23" s="217"/>
      <c r="P23" s="217"/>
      <c r="Q23" s="217"/>
      <c r="R23" s="355"/>
      <c r="S23" s="217"/>
      <c r="T23" s="217"/>
      <c r="U23" s="217"/>
      <c r="V23" s="217"/>
      <c r="W23" s="217"/>
      <c r="X23" s="217"/>
      <c r="Y23" s="217"/>
      <c r="Z23" s="217"/>
      <c r="AA23" s="217"/>
      <c r="AB23" s="217"/>
      <c r="AC23" s="217"/>
      <c r="AD23" s="217"/>
      <c r="AE23" s="217"/>
      <c r="AF23" s="217"/>
      <c r="AG23" s="355"/>
      <c r="AH23" s="217"/>
      <c r="AI23" s="217"/>
      <c r="AJ23" s="217"/>
      <c r="AK23" s="217"/>
      <c r="AL23" s="217"/>
      <c r="AM23" s="217"/>
      <c r="AN23" s="217"/>
      <c r="AO23" s="217"/>
      <c r="AP23" s="217"/>
      <c r="AQ23" s="217"/>
      <c r="AR23" s="217"/>
      <c r="AS23" s="217"/>
      <c r="AT23" s="217"/>
      <c r="AU23" s="217"/>
    </row>
    <row r="24" spans="1:47">
      <c r="A24" s="254">
        <v>14</v>
      </c>
      <c r="B24" s="242"/>
      <c r="C24" s="243"/>
      <c r="D24" s="243"/>
      <c r="E24" s="357"/>
      <c r="F24" s="217"/>
      <c r="G24" s="217"/>
      <c r="H24" s="217"/>
      <c r="I24" s="217"/>
      <c r="J24" s="217"/>
      <c r="K24" s="217"/>
      <c r="L24" s="217"/>
      <c r="M24" s="217"/>
      <c r="N24" s="217"/>
      <c r="O24" s="217"/>
      <c r="P24" s="217"/>
      <c r="Q24" s="217"/>
      <c r="R24" s="355"/>
      <c r="S24" s="217"/>
      <c r="T24" s="217"/>
      <c r="U24" s="217"/>
      <c r="V24" s="217"/>
      <c r="W24" s="217"/>
      <c r="X24" s="217"/>
      <c r="Y24" s="217"/>
      <c r="Z24" s="217"/>
      <c r="AA24" s="217"/>
      <c r="AB24" s="217"/>
      <c r="AC24" s="217"/>
      <c r="AD24" s="217"/>
      <c r="AE24" s="217"/>
      <c r="AF24" s="217"/>
      <c r="AG24" s="355"/>
      <c r="AH24" s="217"/>
      <c r="AI24" s="217"/>
      <c r="AJ24" s="217"/>
      <c r="AK24" s="217"/>
      <c r="AL24" s="217"/>
      <c r="AM24" s="217"/>
      <c r="AN24" s="217"/>
      <c r="AO24" s="217"/>
      <c r="AP24" s="217"/>
      <c r="AQ24" s="217"/>
      <c r="AR24" s="217"/>
      <c r="AS24" s="217"/>
      <c r="AT24" s="217"/>
      <c r="AU24" s="217"/>
    </row>
    <row r="25" spans="1:47">
      <c r="A25" s="254">
        <v>15</v>
      </c>
      <c r="B25" s="242"/>
      <c r="C25" s="243"/>
      <c r="D25" s="243"/>
      <c r="E25" s="357"/>
      <c r="F25" s="217"/>
      <c r="G25" s="217"/>
      <c r="H25" s="217"/>
      <c r="I25" s="217"/>
      <c r="J25" s="217"/>
      <c r="K25" s="217"/>
      <c r="L25" s="217"/>
      <c r="M25" s="217"/>
      <c r="N25" s="217"/>
      <c r="O25" s="217"/>
      <c r="P25" s="217"/>
      <c r="Q25" s="217"/>
      <c r="R25" s="355"/>
      <c r="S25" s="217"/>
      <c r="T25" s="217"/>
      <c r="U25" s="217"/>
      <c r="V25" s="217"/>
      <c r="W25" s="217"/>
      <c r="X25" s="217"/>
      <c r="Y25" s="217"/>
      <c r="Z25" s="217"/>
      <c r="AA25" s="217"/>
      <c r="AB25" s="217"/>
      <c r="AC25" s="217"/>
      <c r="AD25" s="217"/>
      <c r="AE25" s="217"/>
      <c r="AF25" s="217"/>
      <c r="AG25" s="355"/>
      <c r="AH25" s="217"/>
      <c r="AI25" s="217"/>
      <c r="AJ25" s="217"/>
      <c r="AK25" s="217"/>
      <c r="AL25" s="217"/>
      <c r="AM25" s="217"/>
      <c r="AN25" s="217"/>
      <c r="AO25" s="217"/>
      <c r="AP25" s="217"/>
      <c r="AQ25" s="217"/>
      <c r="AR25" s="217"/>
      <c r="AS25" s="217"/>
      <c r="AT25" s="217"/>
      <c r="AU25" s="217"/>
    </row>
    <row r="26" spans="1:47">
      <c r="A26" s="254">
        <v>16</v>
      </c>
      <c r="B26" s="242"/>
      <c r="C26" s="365"/>
      <c r="D26" s="365"/>
      <c r="E26" s="366">
        <v>4.8000000000000001E-2</v>
      </c>
      <c r="F26" s="217"/>
      <c r="G26" s="217"/>
      <c r="H26" s="217"/>
      <c r="I26" s="217"/>
      <c r="J26" s="217"/>
      <c r="K26" s="217"/>
      <c r="L26" s="217"/>
      <c r="M26" s="217"/>
      <c r="N26" s="217"/>
      <c r="O26" s="217"/>
      <c r="P26" s="217"/>
      <c r="Q26" s="217"/>
      <c r="R26" s="355"/>
      <c r="S26" s="217"/>
      <c r="T26" s="217"/>
      <c r="U26" s="217"/>
      <c r="V26" s="217"/>
      <c r="W26" s="217"/>
      <c r="X26" s="217"/>
      <c r="Y26" s="217"/>
      <c r="Z26" s="217"/>
      <c r="AA26" s="217"/>
      <c r="AB26" s="217"/>
      <c r="AC26" s="217"/>
      <c r="AD26" s="217"/>
      <c r="AE26" s="217"/>
      <c r="AF26" s="217"/>
      <c r="AG26" s="355"/>
      <c r="AH26" s="217"/>
      <c r="AI26" s="217"/>
      <c r="AJ26" s="217"/>
      <c r="AK26" s="217"/>
      <c r="AL26" s="217"/>
      <c r="AM26" s="217"/>
      <c r="AN26" s="217"/>
      <c r="AO26" s="217"/>
      <c r="AP26" s="217"/>
      <c r="AQ26" s="217"/>
      <c r="AR26" s="217"/>
      <c r="AS26" s="217"/>
      <c r="AT26" s="217"/>
      <c r="AU26" s="217"/>
    </row>
    <row r="27" spans="1:47">
      <c r="A27" s="254">
        <v>17</v>
      </c>
      <c r="B27" s="242"/>
      <c r="C27" s="365"/>
      <c r="D27" s="365"/>
      <c r="E27" s="366">
        <v>5.6000000000000001E-2</v>
      </c>
      <c r="F27" s="217"/>
      <c r="G27" s="217"/>
      <c r="H27" s="217"/>
      <c r="I27" s="217"/>
      <c r="J27" s="217"/>
      <c r="K27" s="217"/>
      <c r="L27" s="217"/>
      <c r="M27" s="217"/>
      <c r="N27" s="217"/>
      <c r="O27" s="217"/>
      <c r="P27" s="217"/>
      <c r="Q27" s="217"/>
      <c r="R27" s="355"/>
      <c r="S27" s="217"/>
      <c r="T27" s="217"/>
      <c r="U27" s="217"/>
      <c r="V27" s="217"/>
      <c r="W27" s="217"/>
      <c r="X27" s="217"/>
      <c r="Y27" s="217"/>
      <c r="Z27" s="217"/>
      <c r="AA27" s="217"/>
      <c r="AB27" s="217"/>
      <c r="AC27" s="217"/>
      <c r="AD27" s="217"/>
      <c r="AE27" s="217"/>
      <c r="AF27" s="217"/>
      <c r="AG27" s="355"/>
      <c r="AH27" s="217"/>
      <c r="AI27" s="217"/>
      <c r="AJ27" s="217"/>
      <c r="AK27" s="217"/>
      <c r="AL27" s="217"/>
      <c r="AM27" s="217"/>
      <c r="AN27" s="217"/>
      <c r="AO27" s="217"/>
      <c r="AP27" s="217"/>
      <c r="AQ27" s="217"/>
      <c r="AR27" s="217"/>
      <c r="AS27" s="217"/>
      <c r="AT27" s="217"/>
      <c r="AU27" s="217"/>
    </row>
    <row r="28" spans="1:47">
      <c r="A28" s="254">
        <v>18</v>
      </c>
      <c r="B28" s="242"/>
      <c r="C28" s="365"/>
      <c r="D28" s="365">
        <v>4.1000000000000002E-2</v>
      </c>
      <c r="E28" s="366">
        <v>6.2E-2</v>
      </c>
      <c r="F28" s="217"/>
      <c r="G28" s="217"/>
      <c r="H28" s="217"/>
      <c r="I28" s="217"/>
      <c r="J28" s="217"/>
      <c r="K28" s="217"/>
      <c r="L28" s="217"/>
      <c r="M28" s="217"/>
      <c r="N28" s="217"/>
      <c r="O28" s="217"/>
      <c r="P28" s="217"/>
      <c r="Q28" s="217"/>
      <c r="R28" s="355"/>
      <c r="S28" s="217"/>
      <c r="T28" s="217"/>
      <c r="U28" s="217"/>
      <c r="V28" s="217"/>
      <c r="W28" s="217"/>
      <c r="X28" s="217"/>
      <c r="Y28" s="217"/>
      <c r="Z28" s="217"/>
      <c r="AA28" s="217"/>
      <c r="AB28" s="217"/>
      <c r="AC28" s="217"/>
      <c r="AD28" s="217"/>
      <c r="AE28" s="217"/>
      <c r="AF28" s="217"/>
      <c r="AG28" s="355"/>
      <c r="AH28" s="217"/>
      <c r="AI28" s="217"/>
      <c r="AJ28" s="217"/>
      <c r="AK28" s="217"/>
      <c r="AL28" s="217"/>
      <c r="AM28" s="217"/>
      <c r="AN28" s="217"/>
      <c r="AO28" s="217"/>
      <c r="AP28" s="217"/>
      <c r="AQ28" s="217"/>
      <c r="AR28" s="217"/>
      <c r="AS28" s="217"/>
      <c r="AT28" s="217"/>
      <c r="AU28" s="217"/>
    </row>
    <row r="29" spans="1:47">
      <c r="A29" s="254">
        <v>19</v>
      </c>
      <c r="B29" s="242"/>
      <c r="C29" s="367"/>
      <c r="D29" s="367">
        <v>5.3999999999999999E-2</v>
      </c>
      <c r="E29" s="366">
        <v>6.8000000000000005E-2</v>
      </c>
      <c r="F29" s="217"/>
      <c r="G29" s="217"/>
      <c r="H29" s="217"/>
      <c r="I29" s="217"/>
      <c r="J29" s="217"/>
      <c r="K29" s="217"/>
      <c r="L29" s="217"/>
      <c r="M29" s="217"/>
      <c r="N29" s="217"/>
      <c r="O29" s="217"/>
      <c r="P29" s="217"/>
      <c r="Q29" s="217"/>
      <c r="R29" s="355"/>
      <c r="S29" s="217"/>
      <c r="T29" s="217"/>
      <c r="U29" s="217"/>
      <c r="V29" s="217"/>
      <c r="W29" s="217"/>
      <c r="X29" s="217"/>
      <c r="Y29" s="217"/>
      <c r="Z29" s="217"/>
      <c r="AA29" s="217"/>
      <c r="AB29" s="217"/>
      <c r="AC29" s="217"/>
      <c r="AD29" s="217"/>
      <c r="AE29" s="217"/>
      <c r="AF29" s="217"/>
      <c r="AG29" s="355"/>
      <c r="AH29" s="217"/>
      <c r="AI29" s="217"/>
      <c r="AJ29" s="217"/>
      <c r="AK29" s="217"/>
      <c r="AL29" s="217"/>
      <c r="AM29" s="217"/>
      <c r="AN29" s="217"/>
      <c r="AO29" s="217"/>
      <c r="AP29" s="217"/>
      <c r="AQ29" s="217"/>
      <c r="AR29" s="217"/>
      <c r="AS29" s="217"/>
      <c r="AT29" s="217"/>
      <c r="AU29" s="217"/>
    </row>
    <row r="30" spans="1:47">
      <c r="A30" s="254">
        <v>20</v>
      </c>
      <c r="B30" s="242"/>
      <c r="C30" s="367"/>
      <c r="D30" s="367">
        <v>0.06</v>
      </c>
      <c r="E30" s="366">
        <v>8.2000000000000003E-2</v>
      </c>
      <c r="F30" s="217"/>
      <c r="G30" s="217"/>
      <c r="H30" s="217"/>
      <c r="I30" s="217"/>
      <c r="J30" s="217"/>
      <c r="K30" s="217"/>
      <c r="L30" s="217"/>
      <c r="M30" s="217"/>
      <c r="N30" s="217"/>
      <c r="O30" s="217"/>
      <c r="P30" s="217"/>
      <c r="Q30" s="217"/>
      <c r="R30" s="355"/>
      <c r="S30" s="217"/>
      <c r="T30" s="217"/>
      <c r="U30" s="217"/>
      <c r="V30" s="217"/>
      <c r="W30" s="217"/>
      <c r="X30" s="217"/>
      <c r="Y30" s="217"/>
      <c r="Z30" s="217"/>
      <c r="AA30" s="217"/>
      <c r="AB30" s="217"/>
      <c r="AC30" s="217"/>
      <c r="AD30" s="217"/>
      <c r="AE30" s="217"/>
      <c r="AF30" s="217"/>
      <c r="AG30" s="355"/>
      <c r="AH30" s="217"/>
      <c r="AI30" s="217"/>
      <c r="AJ30" s="217"/>
      <c r="AK30" s="217"/>
      <c r="AL30" s="217"/>
      <c r="AM30" s="217"/>
      <c r="AN30" s="217"/>
      <c r="AO30" s="217"/>
      <c r="AP30" s="217"/>
      <c r="AQ30" s="217"/>
      <c r="AR30" s="217"/>
      <c r="AS30" s="217"/>
      <c r="AT30" s="217"/>
      <c r="AU30" s="217"/>
    </row>
    <row r="31" spans="1:47">
      <c r="A31" s="254">
        <v>21</v>
      </c>
      <c r="B31" s="242"/>
      <c r="C31" s="367"/>
      <c r="D31" s="367">
        <v>7.0999999999999994E-2</v>
      </c>
      <c r="E31" s="366">
        <v>0.09</v>
      </c>
      <c r="F31" s="217"/>
      <c r="G31" s="217"/>
      <c r="H31" s="217"/>
      <c r="I31" s="217"/>
      <c r="J31" s="217"/>
      <c r="K31" s="217"/>
      <c r="L31" s="217"/>
      <c r="M31" s="217"/>
      <c r="N31" s="217"/>
      <c r="O31" s="217"/>
      <c r="P31" s="217"/>
      <c r="Q31" s="217"/>
      <c r="R31" s="355"/>
      <c r="S31" s="217"/>
      <c r="T31" s="217"/>
      <c r="U31" s="217"/>
      <c r="V31" s="217"/>
      <c r="W31" s="217"/>
      <c r="X31" s="217"/>
      <c r="Y31" s="217"/>
      <c r="Z31" s="217"/>
      <c r="AA31" s="217"/>
      <c r="AB31" s="217"/>
      <c r="AC31" s="217"/>
      <c r="AD31" s="217"/>
      <c r="AE31" s="217"/>
      <c r="AF31" s="217"/>
      <c r="AG31" s="355"/>
      <c r="AH31" s="217"/>
      <c r="AI31" s="217"/>
      <c r="AJ31" s="217"/>
      <c r="AK31" s="217"/>
      <c r="AL31" s="217"/>
      <c r="AM31" s="217"/>
      <c r="AN31" s="217"/>
      <c r="AO31" s="217"/>
      <c r="AP31" s="217"/>
      <c r="AQ31" s="217"/>
      <c r="AR31" s="217"/>
      <c r="AS31" s="217"/>
      <c r="AT31" s="217"/>
      <c r="AU31" s="217"/>
    </row>
    <row r="32" spans="1:47">
      <c r="A32" s="254">
        <v>22</v>
      </c>
      <c r="B32" s="242"/>
      <c r="C32" s="367"/>
      <c r="D32" s="367">
        <v>8.1000000000000003E-2</v>
      </c>
      <c r="E32" s="366">
        <v>0.106</v>
      </c>
      <c r="F32" s="217"/>
      <c r="G32" s="217"/>
      <c r="H32" s="217"/>
      <c r="I32" s="217"/>
      <c r="J32" s="217"/>
      <c r="K32" s="217"/>
      <c r="L32" s="217"/>
      <c r="M32" s="217"/>
      <c r="N32" s="217"/>
      <c r="O32" s="217"/>
      <c r="P32" s="217"/>
      <c r="Q32" s="217"/>
      <c r="R32" s="355"/>
      <c r="S32" s="217"/>
      <c r="T32" s="217"/>
      <c r="U32" s="217"/>
      <c r="V32" s="217"/>
      <c r="W32" s="217"/>
      <c r="X32" s="217"/>
      <c r="Y32" s="217"/>
      <c r="Z32" s="217"/>
      <c r="AA32" s="217"/>
      <c r="AB32" s="217"/>
      <c r="AC32" s="217"/>
      <c r="AD32" s="217"/>
      <c r="AE32" s="217"/>
      <c r="AF32" s="217"/>
      <c r="AG32" s="355"/>
      <c r="AH32" s="217"/>
      <c r="AI32" s="217"/>
      <c r="AJ32" s="217"/>
      <c r="AK32" s="217"/>
      <c r="AL32" s="217"/>
      <c r="AM32" s="217"/>
      <c r="AN32" s="217"/>
      <c r="AO32" s="217"/>
      <c r="AP32" s="217"/>
      <c r="AQ32" s="217"/>
      <c r="AR32" s="217"/>
      <c r="AS32" s="217"/>
      <c r="AT32" s="217"/>
      <c r="AU32" s="217"/>
    </row>
    <row r="33" spans="1:47">
      <c r="A33" s="254">
        <v>23</v>
      </c>
      <c r="B33" s="242"/>
      <c r="C33" s="367"/>
      <c r="D33" s="367">
        <v>9.0999999999999998E-2</v>
      </c>
      <c r="E33" s="366">
        <v>0.123</v>
      </c>
      <c r="F33" s="217"/>
      <c r="G33" s="217"/>
      <c r="H33" s="217"/>
      <c r="I33" s="217"/>
      <c r="J33" s="217"/>
      <c r="K33" s="217"/>
      <c r="L33" s="217"/>
      <c r="M33" s="217"/>
      <c r="N33" s="217"/>
      <c r="O33" s="217"/>
      <c r="P33" s="217"/>
      <c r="Q33" s="217"/>
      <c r="R33" s="355"/>
      <c r="S33" s="217"/>
      <c r="T33" s="217"/>
      <c r="U33" s="217"/>
      <c r="V33" s="217"/>
      <c r="W33" s="217"/>
      <c r="X33" s="217"/>
      <c r="Y33" s="217"/>
      <c r="Z33" s="217"/>
      <c r="AA33" s="217"/>
      <c r="AB33" s="217"/>
      <c r="AC33" s="217"/>
      <c r="AD33" s="217"/>
      <c r="AE33" s="217"/>
      <c r="AF33" s="217"/>
      <c r="AG33" s="355"/>
      <c r="AH33" s="217"/>
      <c r="AI33" s="217"/>
      <c r="AJ33" s="217"/>
      <c r="AK33" s="217"/>
      <c r="AL33" s="217"/>
      <c r="AM33" s="217"/>
      <c r="AN33" s="217"/>
      <c r="AO33" s="217"/>
      <c r="AP33" s="217"/>
      <c r="AQ33" s="217"/>
      <c r="AR33" s="217"/>
      <c r="AS33" s="217"/>
      <c r="AT33" s="217"/>
      <c r="AU33" s="217"/>
    </row>
    <row r="34" spans="1:47">
      <c r="A34" s="254">
        <v>24</v>
      </c>
      <c r="B34" s="242"/>
      <c r="C34" s="367"/>
      <c r="D34" s="367">
        <v>0.09</v>
      </c>
      <c r="E34" s="366">
        <v>0.14599999999999999</v>
      </c>
      <c r="F34" s="217"/>
      <c r="G34" s="217"/>
      <c r="H34" s="217"/>
      <c r="I34" s="217"/>
      <c r="J34" s="217"/>
      <c r="K34" s="217"/>
      <c r="L34" s="217"/>
      <c r="M34" s="217"/>
      <c r="N34" s="217"/>
      <c r="O34" s="217"/>
      <c r="P34" s="217"/>
      <c r="Q34" s="217"/>
      <c r="R34" s="355"/>
      <c r="S34" s="217"/>
      <c r="T34" s="217"/>
      <c r="U34" s="217"/>
      <c r="V34" s="217"/>
      <c r="W34" s="217"/>
      <c r="X34" s="217"/>
      <c r="Y34" s="217"/>
      <c r="Z34" s="217"/>
      <c r="AA34" s="217"/>
      <c r="AB34" s="217"/>
      <c r="AC34" s="217"/>
      <c r="AD34" s="217"/>
      <c r="AE34" s="217"/>
      <c r="AF34" s="217"/>
      <c r="AG34" s="355"/>
      <c r="AH34" s="217"/>
      <c r="AI34" s="217"/>
      <c r="AJ34" s="217"/>
      <c r="AK34" s="217"/>
      <c r="AL34" s="217"/>
      <c r="AM34" s="217"/>
      <c r="AN34" s="217"/>
      <c r="AO34" s="217"/>
      <c r="AP34" s="217"/>
      <c r="AQ34" s="217"/>
      <c r="AR34" s="217"/>
      <c r="AS34" s="217"/>
      <c r="AT34" s="217"/>
      <c r="AU34" s="217"/>
    </row>
    <row r="35" spans="1:47">
      <c r="A35" s="254">
        <v>25</v>
      </c>
      <c r="B35" s="242"/>
      <c r="C35" s="367"/>
      <c r="D35" s="367">
        <v>0.121</v>
      </c>
      <c r="E35" s="366">
        <v>0.17599999999999999</v>
      </c>
      <c r="F35" s="217"/>
      <c r="G35" s="217"/>
      <c r="H35" s="217"/>
      <c r="I35" s="217"/>
      <c r="J35" s="217"/>
      <c r="K35" s="217"/>
      <c r="L35" s="217"/>
      <c r="M35" s="217"/>
      <c r="N35" s="217"/>
      <c r="O35" s="217"/>
      <c r="P35" s="217"/>
      <c r="Q35" s="217"/>
      <c r="R35" s="355"/>
      <c r="S35" s="217"/>
      <c r="T35" s="217"/>
      <c r="U35" s="217"/>
      <c r="V35" s="217"/>
      <c r="W35" s="217"/>
      <c r="X35" s="217"/>
      <c r="Y35" s="217"/>
      <c r="Z35" s="217"/>
      <c r="AA35" s="217"/>
      <c r="AB35" s="217"/>
      <c r="AC35" s="217"/>
      <c r="AD35" s="217"/>
      <c r="AE35" s="217"/>
      <c r="AF35" s="217"/>
      <c r="AG35" s="355"/>
      <c r="AH35" s="217"/>
      <c r="AI35" s="217"/>
      <c r="AJ35" s="217"/>
      <c r="AK35" s="217"/>
      <c r="AL35" s="217"/>
      <c r="AM35" s="217"/>
      <c r="AN35" s="217"/>
      <c r="AO35" s="217"/>
      <c r="AP35" s="217"/>
      <c r="AQ35" s="217"/>
      <c r="AR35" s="217"/>
      <c r="AS35" s="217"/>
      <c r="AT35" s="217"/>
      <c r="AU35" s="217"/>
    </row>
    <row r="36" spans="1:47">
      <c r="A36" s="254">
        <v>26</v>
      </c>
      <c r="B36" s="242"/>
      <c r="C36" s="367"/>
      <c r="D36" s="367">
        <v>0.14399999999999999</v>
      </c>
      <c r="E36" s="366">
        <v>0.19500000000000001</v>
      </c>
      <c r="F36" s="217"/>
      <c r="G36" s="217"/>
      <c r="H36" s="217"/>
      <c r="I36" s="217"/>
      <c r="J36" s="217"/>
      <c r="K36" s="217"/>
      <c r="L36" s="217"/>
      <c r="M36" s="217"/>
      <c r="N36" s="217"/>
      <c r="O36" s="217"/>
      <c r="P36" s="217"/>
      <c r="Q36" s="217"/>
      <c r="R36" s="355"/>
      <c r="S36" s="217"/>
      <c r="T36" s="217"/>
      <c r="U36" s="217"/>
      <c r="V36" s="217"/>
      <c r="W36" s="217"/>
      <c r="X36" s="217"/>
      <c r="Y36" s="217"/>
      <c r="Z36" s="217"/>
      <c r="AA36" s="217"/>
      <c r="AB36" s="217"/>
      <c r="AC36" s="217"/>
      <c r="AD36" s="217"/>
      <c r="AE36" s="217"/>
      <c r="AF36" s="217"/>
      <c r="AG36" s="355"/>
      <c r="AH36" s="217"/>
      <c r="AI36" s="217"/>
      <c r="AJ36" s="217"/>
      <c r="AK36" s="217"/>
      <c r="AL36" s="217"/>
      <c r="AM36" s="217"/>
      <c r="AN36" s="217"/>
      <c r="AO36" s="217"/>
      <c r="AP36" s="217"/>
      <c r="AQ36" s="217"/>
      <c r="AR36" s="217"/>
      <c r="AS36" s="217"/>
      <c r="AT36" s="217"/>
      <c r="AU36" s="217"/>
    </row>
    <row r="37" spans="1:47">
      <c r="A37" s="254">
        <v>27</v>
      </c>
      <c r="B37" s="242"/>
      <c r="C37" s="367"/>
      <c r="D37" s="367">
        <v>0.153</v>
      </c>
      <c r="E37" s="366">
        <v>0.21199999999999999</v>
      </c>
      <c r="F37" s="217"/>
      <c r="G37" s="217"/>
      <c r="H37" s="217"/>
      <c r="I37" s="217"/>
      <c r="J37" s="217"/>
      <c r="K37" s="217"/>
      <c r="L37" s="217"/>
      <c r="M37" s="217"/>
      <c r="N37" s="217"/>
      <c r="O37" s="217"/>
      <c r="P37" s="217"/>
      <c r="Q37" s="217"/>
      <c r="R37" s="355"/>
      <c r="S37" s="217"/>
      <c r="T37" s="217"/>
      <c r="U37" s="217"/>
      <c r="V37" s="217"/>
      <c r="W37" s="217"/>
      <c r="X37" s="217"/>
      <c r="Y37" s="217"/>
      <c r="Z37" s="217"/>
      <c r="AA37" s="217"/>
      <c r="AB37" s="217"/>
      <c r="AC37" s="217"/>
      <c r="AD37" s="217"/>
      <c r="AE37" s="217"/>
      <c r="AF37" s="217"/>
      <c r="AG37" s="355"/>
      <c r="AH37" s="217"/>
      <c r="AI37" s="217"/>
      <c r="AJ37" s="217"/>
      <c r="AK37" s="217"/>
      <c r="AL37" s="217"/>
      <c r="AM37" s="217"/>
      <c r="AN37" s="217"/>
      <c r="AO37" s="217"/>
      <c r="AP37" s="217"/>
      <c r="AQ37" s="217"/>
      <c r="AR37" s="217"/>
      <c r="AS37" s="217"/>
      <c r="AT37" s="217"/>
      <c r="AU37" s="217"/>
    </row>
    <row r="38" spans="1:47">
      <c r="A38" s="254">
        <v>28</v>
      </c>
      <c r="B38" s="242"/>
      <c r="C38" s="367"/>
      <c r="D38" s="367">
        <v>0.16900000000000001</v>
      </c>
      <c r="E38" s="366">
        <v>0.218</v>
      </c>
      <c r="F38" s="217"/>
      <c r="G38" s="217"/>
      <c r="H38" s="217"/>
      <c r="I38" s="217"/>
      <c r="J38" s="217"/>
      <c r="K38" s="217"/>
      <c r="L38" s="217"/>
      <c r="M38" s="217"/>
      <c r="N38" s="217"/>
      <c r="O38" s="217"/>
      <c r="P38" s="217"/>
      <c r="Q38" s="217"/>
      <c r="R38" s="355"/>
      <c r="S38" s="217"/>
      <c r="T38" s="217"/>
      <c r="U38" s="217"/>
      <c r="V38" s="217"/>
      <c r="W38" s="217"/>
      <c r="X38" s="217"/>
      <c r="Y38" s="217"/>
      <c r="Z38" s="217"/>
      <c r="AA38" s="217"/>
      <c r="AB38" s="217"/>
      <c r="AC38" s="217"/>
      <c r="AD38" s="217"/>
      <c r="AE38" s="217"/>
      <c r="AF38" s="217"/>
      <c r="AG38" s="355"/>
      <c r="AH38" s="217"/>
      <c r="AI38" s="217"/>
      <c r="AJ38" s="217"/>
      <c r="AK38" s="217"/>
      <c r="AL38" s="217"/>
      <c r="AM38" s="217"/>
      <c r="AN38" s="217"/>
      <c r="AO38" s="217"/>
      <c r="AP38" s="217"/>
      <c r="AQ38" s="217"/>
      <c r="AR38" s="217"/>
      <c r="AS38" s="217"/>
      <c r="AT38" s="217"/>
      <c r="AU38" s="217"/>
    </row>
    <row r="39" spans="1:47">
      <c r="A39" s="254">
        <v>29</v>
      </c>
      <c r="B39" s="242"/>
      <c r="C39" s="367"/>
      <c r="D39" s="367">
        <v>0.188</v>
      </c>
      <c r="E39" s="366">
        <v>0.215</v>
      </c>
      <c r="F39" s="217"/>
      <c r="G39" s="217"/>
      <c r="H39" s="217"/>
      <c r="I39" s="217"/>
      <c r="J39" s="217"/>
      <c r="K39" s="217"/>
      <c r="L39" s="217"/>
      <c r="M39" s="217"/>
      <c r="N39" s="217"/>
      <c r="O39" s="217"/>
      <c r="P39" s="217"/>
      <c r="Q39" s="217"/>
      <c r="R39" s="355"/>
      <c r="S39" s="217"/>
      <c r="T39" s="217"/>
      <c r="U39" s="217"/>
      <c r="V39" s="217"/>
      <c r="W39" s="217"/>
      <c r="X39" s="217"/>
      <c r="Y39" s="217"/>
      <c r="Z39" s="217"/>
      <c r="AA39" s="217"/>
      <c r="AB39" s="217"/>
      <c r="AC39" s="217"/>
      <c r="AD39" s="217"/>
      <c r="AE39" s="217"/>
      <c r="AF39" s="217"/>
      <c r="AG39" s="355"/>
      <c r="AH39" s="217"/>
      <c r="AI39" s="217"/>
      <c r="AJ39" s="217"/>
      <c r="AK39" s="217"/>
      <c r="AL39" s="217"/>
      <c r="AM39" s="217"/>
      <c r="AN39" s="217"/>
      <c r="AO39" s="217"/>
      <c r="AP39" s="217"/>
      <c r="AQ39" s="217"/>
      <c r="AR39" s="217"/>
      <c r="AS39" s="217"/>
      <c r="AT39" s="217"/>
      <c r="AU39" s="217"/>
    </row>
    <row r="40" spans="1:47">
      <c r="A40" s="254">
        <v>30</v>
      </c>
      <c r="B40" s="242"/>
      <c r="C40" s="367"/>
      <c r="D40" s="367">
        <v>0.20599999999999999</v>
      </c>
      <c r="E40" s="366">
        <v>0.22600000000000001</v>
      </c>
      <c r="F40" s="217"/>
      <c r="G40" s="217"/>
      <c r="H40" s="217"/>
      <c r="I40" s="217"/>
      <c r="J40" s="217"/>
      <c r="K40" s="217"/>
      <c r="L40" s="217"/>
      <c r="M40" s="217"/>
      <c r="N40" s="217"/>
      <c r="O40" s="217"/>
      <c r="P40" s="217"/>
      <c r="Q40" s="217"/>
      <c r="R40" s="355"/>
      <c r="S40" s="217"/>
      <c r="T40" s="217"/>
      <c r="U40" s="217"/>
      <c r="V40" s="217"/>
      <c r="W40" s="217"/>
      <c r="X40" s="217"/>
      <c r="Y40" s="217"/>
      <c r="Z40" s="217"/>
      <c r="AA40" s="217"/>
      <c r="AB40" s="217"/>
      <c r="AC40" s="217"/>
      <c r="AD40" s="217"/>
      <c r="AE40" s="217"/>
      <c r="AF40" s="217"/>
      <c r="AG40" s="355"/>
      <c r="AH40" s="217"/>
      <c r="AI40" s="217"/>
      <c r="AJ40" s="217"/>
      <c r="AK40" s="217"/>
      <c r="AL40" s="217"/>
      <c r="AM40" s="217"/>
      <c r="AN40" s="217"/>
      <c r="AO40" s="217"/>
      <c r="AP40" s="217"/>
      <c r="AQ40" s="217"/>
      <c r="AR40" s="217"/>
      <c r="AS40" s="217"/>
      <c r="AT40" s="217"/>
      <c r="AU40" s="217"/>
    </row>
    <row r="41" spans="1:47">
      <c r="A41" s="254">
        <v>31</v>
      </c>
      <c r="B41" s="242"/>
      <c r="C41" s="367"/>
      <c r="D41" s="367">
        <v>0.219</v>
      </c>
      <c r="E41" s="366">
        <v>0.28100000000000003</v>
      </c>
      <c r="F41" s="217"/>
      <c r="G41" s="217"/>
      <c r="H41" s="217"/>
      <c r="I41" s="217"/>
      <c r="J41" s="217"/>
      <c r="K41" s="217"/>
      <c r="L41" s="217"/>
      <c r="M41" s="217"/>
      <c r="N41" s="217"/>
      <c r="O41" s="217"/>
      <c r="P41" s="217"/>
      <c r="Q41" s="217"/>
      <c r="R41" s="355"/>
      <c r="S41" s="217"/>
      <c r="T41" s="217"/>
      <c r="U41" s="217"/>
      <c r="V41" s="217"/>
      <c r="W41" s="217"/>
      <c r="X41" s="217"/>
      <c r="Y41" s="217"/>
      <c r="Z41" s="217"/>
      <c r="AA41" s="217"/>
      <c r="AB41" s="217"/>
      <c r="AC41" s="217"/>
      <c r="AD41" s="217"/>
      <c r="AE41" s="217"/>
      <c r="AF41" s="217"/>
      <c r="AG41" s="355"/>
      <c r="AH41" s="217"/>
      <c r="AI41" s="217"/>
      <c r="AJ41" s="217"/>
      <c r="AK41" s="217"/>
      <c r="AL41" s="217"/>
      <c r="AM41" s="217"/>
      <c r="AN41" s="217"/>
      <c r="AO41" s="217"/>
      <c r="AP41" s="217"/>
      <c r="AQ41" s="217"/>
      <c r="AR41" s="217"/>
      <c r="AS41" s="217"/>
      <c r="AT41" s="217"/>
      <c r="AU41" s="217"/>
    </row>
    <row r="42" spans="1:47">
      <c r="A42" s="254">
        <v>32</v>
      </c>
      <c r="B42" s="242"/>
      <c r="C42" s="367"/>
      <c r="D42" s="367">
        <v>0.249</v>
      </c>
      <c r="E42" s="366">
        <v>0.36</v>
      </c>
      <c r="F42" s="217"/>
      <c r="G42" s="217"/>
      <c r="H42" s="217"/>
      <c r="I42" s="217"/>
      <c r="J42" s="217"/>
      <c r="K42" s="217"/>
      <c r="L42" s="217"/>
      <c r="M42" s="217"/>
      <c r="N42" s="217"/>
      <c r="O42" s="217"/>
      <c r="P42" s="217"/>
      <c r="Q42" s="217"/>
      <c r="R42" s="355"/>
      <c r="S42" s="217"/>
      <c r="T42" s="217"/>
      <c r="U42" s="217"/>
      <c r="V42" s="217"/>
      <c r="W42" s="217"/>
      <c r="X42" s="217"/>
      <c r="Y42" s="217"/>
      <c r="Z42" s="217"/>
      <c r="AA42" s="217"/>
      <c r="AB42" s="217"/>
      <c r="AC42" s="217"/>
      <c r="AD42" s="217"/>
      <c r="AE42" s="217"/>
      <c r="AF42" s="217"/>
      <c r="AG42" s="355"/>
      <c r="AH42" s="217"/>
      <c r="AI42" s="217"/>
      <c r="AJ42" s="217"/>
      <c r="AK42" s="217"/>
      <c r="AL42" s="217"/>
      <c r="AM42" s="217"/>
      <c r="AN42" s="217"/>
      <c r="AO42" s="217"/>
      <c r="AP42" s="217"/>
      <c r="AQ42" s="217"/>
      <c r="AR42" s="217"/>
      <c r="AS42" s="217"/>
      <c r="AT42" s="217"/>
      <c r="AU42" s="217"/>
    </row>
    <row r="43" spans="1:47">
      <c r="A43" s="254">
        <v>33</v>
      </c>
      <c r="B43" s="242"/>
      <c r="C43" s="367"/>
      <c r="D43" s="367">
        <v>0.27300000000000002</v>
      </c>
      <c r="E43" s="366">
        <v>0.40100000000000002</v>
      </c>
      <c r="F43" s="217"/>
      <c r="G43" s="217"/>
      <c r="H43" s="217"/>
      <c r="I43" s="217"/>
      <c r="J43" s="217"/>
      <c r="K43" s="217"/>
      <c r="L43" s="217"/>
      <c r="M43" s="217"/>
      <c r="N43" s="217"/>
      <c r="O43" s="217"/>
      <c r="P43" s="217"/>
      <c r="Q43" s="217"/>
      <c r="R43" s="355"/>
      <c r="S43" s="217"/>
      <c r="T43" s="217"/>
      <c r="U43" s="217"/>
      <c r="V43" s="217"/>
      <c r="W43" s="217"/>
      <c r="X43" s="217"/>
      <c r="Y43" s="217"/>
      <c r="Z43" s="217"/>
      <c r="AA43" s="217"/>
      <c r="AB43" s="217"/>
      <c r="AC43" s="217"/>
      <c r="AD43" s="217"/>
      <c r="AE43" s="217"/>
      <c r="AF43" s="217"/>
      <c r="AG43" s="355"/>
      <c r="AH43" s="217"/>
      <c r="AI43" s="217"/>
      <c r="AJ43" s="217"/>
      <c r="AK43" s="217"/>
      <c r="AL43" s="217"/>
      <c r="AM43" s="217"/>
      <c r="AN43" s="217"/>
      <c r="AO43" s="217"/>
      <c r="AP43" s="217"/>
      <c r="AQ43" s="217"/>
      <c r="AR43" s="217"/>
      <c r="AS43" s="217"/>
      <c r="AT43" s="217"/>
      <c r="AU43" s="217"/>
    </row>
    <row r="44" spans="1:47">
      <c r="A44" s="254">
        <v>34</v>
      </c>
      <c r="B44" s="242"/>
      <c r="C44" s="367"/>
      <c r="D44" s="367">
        <v>0.30299999999999999</v>
      </c>
      <c r="E44" s="366">
        <v>0.439</v>
      </c>
      <c r="F44" s="217"/>
      <c r="G44" s="217"/>
      <c r="H44" s="217"/>
      <c r="I44" s="217"/>
      <c r="J44" s="217"/>
      <c r="K44" s="217"/>
      <c r="L44" s="217"/>
      <c r="M44" s="217"/>
      <c r="N44" s="217"/>
      <c r="O44" s="217"/>
      <c r="P44" s="217"/>
      <c r="Q44" s="217"/>
      <c r="R44" s="355"/>
      <c r="S44" s="217"/>
      <c r="T44" s="217"/>
      <c r="U44" s="217"/>
      <c r="V44" s="217"/>
      <c r="W44" s="217"/>
      <c r="X44" s="217"/>
      <c r="Y44" s="217"/>
      <c r="Z44" s="217"/>
      <c r="AA44" s="217"/>
      <c r="AB44" s="217"/>
      <c r="AC44" s="217"/>
      <c r="AD44" s="217"/>
      <c r="AE44" s="217"/>
      <c r="AF44" s="217"/>
      <c r="AG44" s="355"/>
      <c r="AH44" s="217"/>
      <c r="AI44" s="217"/>
      <c r="AJ44" s="217"/>
      <c r="AK44" s="217"/>
      <c r="AL44" s="217"/>
      <c r="AM44" s="217"/>
      <c r="AN44" s="217"/>
      <c r="AO44" s="217"/>
      <c r="AP44" s="217"/>
      <c r="AQ44" s="217"/>
      <c r="AR44" s="217"/>
      <c r="AS44" s="217"/>
      <c r="AT44" s="217"/>
      <c r="AU44" s="217"/>
    </row>
    <row r="45" spans="1:47">
      <c r="A45" s="254">
        <v>35</v>
      </c>
      <c r="B45" s="242"/>
      <c r="C45" s="367"/>
      <c r="D45" s="367">
        <v>0.32600000000000001</v>
      </c>
      <c r="E45" s="366">
        <v>0.47299999999999998</v>
      </c>
      <c r="F45" s="217"/>
      <c r="G45" s="217"/>
      <c r="H45" s="217"/>
      <c r="I45" s="217"/>
      <c r="J45" s="217"/>
      <c r="K45" s="217"/>
      <c r="L45" s="217"/>
      <c r="M45" s="217"/>
      <c r="N45" s="217"/>
      <c r="O45" s="217"/>
      <c r="P45" s="217"/>
      <c r="Q45" s="217"/>
      <c r="R45" s="355"/>
      <c r="S45" s="217"/>
      <c r="T45" s="217"/>
      <c r="U45" s="217"/>
      <c r="V45" s="217"/>
      <c r="W45" s="217"/>
      <c r="X45" s="217"/>
      <c r="Y45" s="217"/>
      <c r="Z45" s="217"/>
      <c r="AA45" s="217"/>
      <c r="AB45" s="217"/>
      <c r="AC45" s="217"/>
      <c r="AD45" s="217"/>
      <c r="AE45" s="217"/>
      <c r="AF45" s="217"/>
      <c r="AG45" s="355"/>
      <c r="AH45" s="217"/>
      <c r="AI45" s="217"/>
      <c r="AJ45" s="217"/>
      <c r="AK45" s="217"/>
      <c r="AL45" s="217"/>
      <c r="AM45" s="217"/>
      <c r="AN45" s="217"/>
      <c r="AO45" s="217"/>
      <c r="AP45" s="217"/>
      <c r="AQ45" s="217"/>
      <c r="AR45" s="217"/>
      <c r="AS45" s="217"/>
      <c r="AT45" s="217"/>
      <c r="AU45" s="217"/>
    </row>
    <row r="46" spans="1:47">
      <c r="A46" s="254">
        <v>36</v>
      </c>
      <c r="B46" s="242"/>
      <c r="C46" s="367"/>
      <c r="D46" s="367">
        <v>0.35</v>
      </c>
      <c r="E46" s="366">
        <v>0.502</v>
      </c>
      <c r="F46" s="217"/>
      <c r="G46" s="217"/>
      <c r="H46" s="217"/>
      <c r="I46" s="217"/>
      <c r="J46" s="217"/>
      <c r="K46" s="217"/>
      <c r="L46" s="217"/>
      <c r="M46" s="217"/>
      <c r="N46" s="217"/>
      <c r="O46" s="217"/>
      <c r="P46" s="217"/>
      <c r="Q46" s="217"/>
      <c r="R46" s="355"/>
      <c r="S46" s="217"/>
      <c r="T46" s="217"/>
      <c r="U46" s="217"/>
      <c r="V46" s="217"/>
      <c r="W46" s="217"/>
      <c r="X46" s="217"/>
      <c r="Y46" s="217"/>
      <c r="Z46" s="217"/>
      <c r="AA46" s="217"/>
      <c r="AB46" s="217"/>
      <c r="AC46" s="217"/>
      <c r="AD46" s="217"/>
      <c r="AE46" s="217"/>
      <c r="AF46" s="217"/>
      <c r="AG46" s="355"/>
      <c r="AH46" s="217"/>
      <c r="AI46" s="217"/>
      <c r="AJ46" s="217"/>
      <c r="AK46" s="217"/>
      <c r="AL46" s="217"/>
      <c r="AM46" s="217"/>
      <c r="AN46" s="217"/>
      <c r="AO46" s="217"/>
      <c r="AP46" s="217"/>
      <c r="AQ46" s="217"/>
      <c r="AR46" s="217"/>
      <c r="AS46" s="217"/>
      <c r="AT46" s="217"/>
      <c r="AU46" s="217"/>
    </row>
    <row r="47" spans="1:47">
      <c r="A47" s="254">
        <v>37</v>
      </c>
      <c r="B47" s="242"/>
      <c r="C47" s="367"/>
      <c r="D47" s="367">
        <v>0.38500000000000001</v>
      </c>
      <c r="E47" s="366">
        <v>0.53500000000000003</v>
      </c>
      <c r="F47" s="217"/>
      <c r="G47" s="217"/>
      <c r="H47" s="217"/>
      <c r="I47" s="217"/>
      <c r="J47" s="217"/>
      <c r="K47" s="217"/>
      <c r="L47" s="217"/>
      <c r="M47" s="217"/>
      <c r="N47" s="217"/>
      <c r="O47" s="217"/>
      <c r="P47" s="217"/>
      <c r="Q47" s="217"/>
      <c r="R47" s="355"/>
      <c r="S47" s="217"/>
      <c r="T47" s="217"/>
      <c r="U47" s="217"/>
      <c r="V47" s="217"/>
      <c r="W47" s="217"/>
      <c r="X47" s="217"/>
      <c r="Y47" s="217"/>
      <c r="Z47" s="217"/>
      <c r="AA47" s="217"/>
      <c r="AB47" s="217"/>
      <c r="AC47" s="217"/>
      <c r="AD47" s="217"/>
      <c r="AE47" s="217"/>
      <c r="AF47" s="217"/>
      <c r="AG47" s="355"/>
      <c r="AH47" s="217"/>
      <c r="AI47" s="217"/>
      <c r="AJ47" s="217"/>
      <c r="AK47" s="217"/>
      <c r="AL47" s="217"/>
      <c r="AM47" s="217"/>
      <c r="AN47" s="217"/>
      <c r="AO47" s="217"/>
      <c r="AP47" s="217"/>
      <c r="AQ47" s="217"/>
      <c r="AR47" s="217"/>
      <c r="AS47" s="217"/>
      <c r="AT47" s="217"/>
      <c r="AU47" s="217"/>
    </row>
    <row r="48" spans="1:47">
      <c r="A48" s="254">
        <v>38</v>
      </c>
      <c r="B48" s="242"/>
      <c r="C48" s="367"/>
      <c r="D48" s="367">
        <v>0.41399999999999998</v>
      </c>
      <c r="E48" s="366">
        <v>0.51100000000000001</v>
      </c>
      <c r="F48" s="217"/>
      <c r="G48" s="217"/>
      <c r="H48" s="217"/>
      <c r="I48" s="217"/>
      <c r="J48" s="217"/>
      <c r="K48" s="217"/>
      <c r="L48" s="217"/>
      <c r="M48" s="217"/>
      <c r="N48" s="217"/>
      <c r="O48" s="217"/>
      <c r="P48" s="217"/>
      <c r="Q48" s="217"/>
      <c r="R48" s="355"/>
      <c r="S48" s="217"/>
      <c r="T48" s="217"/>
      <c r="U48" s="217"/>
      <c r="V48" s="217"/>
      <c r="W48" s="217"/>
      <c r="X48" s="217"/>
      <c r="Y48" s="217"/>
      <c r="Z48" s="217"/>
      <c r="AA48" s="217"/>
      <c r="AB48" s="217"/>
      <c r="AC48" s="217"/>
      <c r="AD48" s="217"/>
      <c r="AE48" s="217"/>
      <c r="AF48" s="217"/>
      <c r="AG48" s="355"/>
      <c r="AH48" s="217"/>
      <c r="AI48" s="217"/>
      <c r="AJ48" s="217"/>
      <c r="AK48" s="217"/>
      <c r="AL48" s="217"/>
      <c r="AM48" s="217"/>
      <c r="AN48" s="217"/>
      <c r="AO48" s="217"/>
      <c r="AP48" s="217"/>
      <c r="AQ48" s="217"/>
      <c r="AR48" s="217"/>
      <c r="AS48" s="217"/>
      <c r="AT48" s="217"/>
      <c r="AU48" s="217"/>
    </row>
    <row r="49" spans="1:47">
      <c r="A49" s="254">
        <v>39</v>
      </c>
      <c r="B49" s="242"/>
      <c r="C49" s="367"/>
      <c r="D49" s="367">
        <v>0.439</v>
      </c>
      <c r="E49" s="366">
        <v>0.60699999999999998</v>
      </c>
      <c r="F49" s="217"/>
      <c r="G49" s="217"/>
      <c r="H49" s="217"/>
      <c r="I49" s="217"/>
      <c r="J49" s="217"/>
      <c r="K49" s="217"/>
      <c r="L49" s="217"/>
      <c r="M49" s="217"/>
      <c r="N49" s="217"/>
      <c r="O49" s="217"/>
      <c r="P49" s="217"/>
      <c r="Q49" s="217"/>
      <c r="R49" s="355"/>
      <c r="S49" s="217"/>
      <c r="T49" s="217"/>
      <c r="U49" s="217"/>
      <c r="V49" s="217"/>
      <c r="W49" s="217"/>
      <c r="X49" s="217"/>
      <c r="Y49" s="217"/>
      <c r="Z49" s="217"/>
      <c r="AA49" s="217"/>
      <c r="AB49" s="217"/>
      <c r="AC49" s="217"/>
      <c r="AD49" s="217"/>
      <c r="AE49" s="217"/>
      <c r="AF49" s="217"/>
      <c r="AG49" s="355"/>
      <c r="AH49" s="217"/>
      <c r="AI49" s="217"/>
      <c r="AJ49" s="217"/>
      <c r="AK49" s="217"/>
      <c r="AL49" s="217"/>
      <c r="AM49" s="217"/>
      <c r="AN49" s="217"/>
      <c r="AO49" s="217"/>
      <c r="AP49" s="217"/>
      <c r="AQ49" s="217"/>
      <c r="AR49" s="217"/>
      <c r="AS49" s="217"/>
      <c r="AT49" s="217"/>
      <c r="AU49" s="217"/>
    </row>
    <row r="50" spans="1:47">
      <c r="A50" s="254">
        <v>40</v>
      </c>
      <c r="B50" s="242"/>
      <c r="C50" s="367"/>
      <c r="D50" s="367">
        <v>0.48699999999999999</v>
      </c>
      <c r="E50" s="366">
        <v>0.68600000000000005</v>
      </c>
      <c r="F50" s="217"/>
      <c r="G50" s="217"/>
      <c r="H50" s="217"/>
      <c r="I50" s="217"/>
      <c r="J50" s="217"/>
      <c r="K50" s="217"/>
      <c r="L50" s="217"/>
      <c r="M50" s="217"/>
      <c r="N50" s="217"/>
      <c r="O50" s="217"/>
      <c r="P50" s="217"/>
      <c r="Q50" s="217"/>
      <c r="R50" s="355"/>
      <c r="S50" s="217"/>
      <c r="T50" s="217"/>
      <c r="U50" s="217"/>
      <c r="V50" s="217"/>
      <c r="W50" s="217"/>
      <c r="X50" s="217"/>
      <c r="Y50" s="217"/>
      <c r="Z50" s="217"/>
      <c r="AA50" s="217"/>
      <c r="AB50" s="217"/>
      <c r="AC50" s="217"/>
      <c r="AD50" s="217"/>
      <c r="AE50" s="217"/>
      <c r="AF50" s="217"/>
      <c r="AG50" s="355"/>
      <c r="AH50" s="217"/>
      <c r="AI50" s="217"/>
      <c r="AJ50" s="217"/>
      <c r="AK50" s="217"/>
      <c r="AL50" s="217"/>
      <c r="AM50" s="217"/>
      <c r="AN50" s="217"/>
      <c r="AO50" s="217"/>
      <c r="AP50" s="217"/>
      <c r="AQ50" s="217"/>
      <c r="AR50" s="217"/>
      <c r="AS50" s="217"/>
      <c r="AT50" s="217"/>
      <c r="AU50" s="217"/>
    </row>
    <row r="51" spans="1:47">
      <c r="A51" s="254">
        <v>41</v>
      </c>
      <c r="B51" s="242"/>
      <c r="C51" s="367"/>
      <c r="D51" s="367">
        <v>0.53100000000000003</v>
      </c>
      <c r="E51" s="366">
        <v>0.60299999999999998</v>
      </c>
      <c r="F51" s="217"/>
      <c r="G51" s="217"/>
      <c r="H51" s="217"/>
      <c r="I51" s="217"/>
      <c r="J51" s="217"/>
      <c r="K51" s="217"/>
      <c r="L51" s="217"/>
      <c r="M51" s="217"/>
      <c r="N51" s="217"/>
      <c r="O51" s="217"/>
      <c r="P51" s="217"/>
      <c r="Q51" s="217"/>
      <c r="R51" s="355"/>
      <c r="S51" s="217"/>
      <c r="T51" s="217"/>
      <c r="U51" s="217"/>
      <c r="V51" s="217"/>
      <c r="W51" s="217"/>
      <c r="X51" s="217"/>
      <c r="Y51" s="217"/>
      <c r="Z51" s="217"/>
      <c r="AA51" s="217"/>
      <c r="AB51" s="217"/>
      <c r="AC51" s="217"/>
      <c r="AD51" s="217"/>
      <c r="AE51" s="217"/>
      <c r="AF51" s="217"/>
      <c r="AG51" s="355"/>
      <c r="AH51" s="217"/>
      <c r="AI51" s="217"/>
      <c r="AJ51" s="217"/>
      <c r="AK51" s="217"/>
      <c r="AL51" s="217"/>
      <c r="AM51" s="217"/>
      <c r="AN51" s="217"/>
      <c r="AO51" s="217"/>
      <c r="AP51" s="217"/>
      <c r="AQ51" s="217"/>
      <c r="AR51" s="217"/>
      <c r="AS51" s="217"/>
      <c r="AT51" s="217"/>
      <c r="AU51" s="217"/>
    </row>
    <row r="52" spans="1:47">
      <c r="A52" s="254">
        <v>42</v>
      </c>
      <c r="B52" s="242"/>
      <c r="C52" s="367"/>
      <c r="D52" s="367">
        <v>0.57299999999999995</v>
      </c>
      <c r="E52" s="366"/>
      <c r="F52" s="217"/>
      <c r="G52" s="217"/>
      <c r="H52" s="217"/>
      <c r="I52" s="217"/>
      <c r="J52" s="217"/>
      <c r="K52" s="217"/>
      <c r="L52" s="217"/>
      <c r="M52" s="217"/>
      <c r="N52" s="217"/>
      <c r="O52" s="217"/>
      <c r="P52" s="217"/>
      <c r="Q52" s="217"/>
      <c r="R52" s="355"/>
      <c r="S52" s="217"/>
      <c r="T52" s="217"/>
      <c r="U52" s="217"/>
      <c r="V52" s="217"/>
      <c r="W52" s="217"/>
      <c r="X52" s="217"/>
      <c r="Y52" s="217"/>
      <c r="Z52" s="217"/>
      <c r="AA52" s="217"/>
      <c r="AB52" s="217"/>
      <c r="AC52" s="217"/>
      <c r="AD52" s="217"/>
      <c r="AE52" s="217"/>
      <c r="AF52" s="217"/>
      <c r="AG52" s="355"/>
      <c r="AH52" s="217"/>
      <c r="AI52" s="217"/>
      <c r="AJ52" s="217"/>
      <c r="AK52" s="217"/>
      <c r="AL52" s="217"/>
      <c r="AM52" s="217"/>
      <c r="AN52" s="217"/>
      <c r="AO52" s="217"/>
      <c r="AP52" s="217"/>
      <c r="AQ52" s="217"/>
      <c r="AR52" s="217"/>
      <c r="AS52" s="217"/>
      <c r="AT52" s="217"/>
      <c r="AU52" s="217"/>
    </row>
    <row r="53" spans="1:47">
      <c r="A53" s="254">
        <v>43</v>
      </c>
      <c r="B53" s="242"/>
      <c r="C53" s="367">
        <v>0.54800000000000004</v>
      </c>
      <c r="D53" s="367">
        <v>0.63100000000000001</v>
      </c>
      <c r="E53" s="366"/>
      <c r="F53" s="217"/>
      <c r="G53" s="217"/>
      <c r="H53" s="217"/>
      <c r="I53" s="217"/>
      <c r="J53" s="217"/>
      <c r="K53" s="217"/>
      <c r="L53" s="217"/>
      <c r="M53" s="217"/>
      <c r="N53" s="217"/>
      <c r="O53" s="217"/>
      <c r="P53" s="217"/>
      <c r="Q53" s="217"/>
      <c r="R53" s="355"/>
      <c r="S53" s="217"/>
      <c r="T53" s="217"/>
      <c r="U53" s="217"/>
      <c r="V53" s="217"/>
      <c r="W53" s="217"/>
      <c r="X53" s="217"/>
      <c r="Y53" s="217"/>
      <c r="Z53" s="217"/>
      <c r="AA53" s="217"/>
      <c r="AB53" s="217"/>
      <c r="AC53" s="217"/>
      <c r="AD53" s="217"/>
      <c r="AE53" s="217"/>
      <c r="AF53" s="217"/>
      <c r="AG53" s="355"/>
      <c r="AH53" s="217"/>
      <c r="AI53" s="217"/>
      <c r="AJ53" s="217"/>
      <c r="AK53" s="217"/>
      <c r="AL53" s="217"/>
      <c r="AM53" s="217"/>
      <c r="AN53" s="217"/>
      <c r="AO53" s="217"/>
      <c r="AP53" s="217"/>
      <c r="AQ53" s="217"/>
      <c r="AR53" s="217"/>
      <c r="AS53" s="217"/>
      <c r="AT53" s="217"/>
      <c r="AU53" s="217"/>
    </row>
    <row r="54" spans="1:47">
      <c r="A54" s="254">
        <v>44</v>
      </c>
      <c r="B54" s="242"/>
      <c r="C54" s="367">
        <v>0.66600000000000004</v>
      </c>
      <c r="D54" s="367">
        <v>0.68200000000000005</v>
      </c>
      <c r="E54" s="366"/>
      <c r="F54" s="217"/>
      <c r="G54" s="217"/>
      <c r="H54" s="217"/>
      <c r="I54" s="217"/>
      <c r="J54" s="217"/>
      <c r="K54" s="217"/>
      <c r="L54" s="217"/>
      <c r="M54" s="217"/>
      <c r="N54" s="217"/>
      <c r="O54" s="217"/>
      <c r="P54" s="217"/>
      <c r="Q54" s="217"/>
      <c r="R54" s="355"/>
      <c r="S54" s="217"/>
      <c r="T54" s="217"/>
      <c r="U54" s="217"/>
      <c r="V54" s="217"/>
      <c r="W54" s="217"/>
      <c r="X54" s="217"/>
      <c r="Y54" s="217"/>
      <c r="Z54" s="217"/>
      <c r="AA54" s="217"/>
      <c r="AB54" s="217"/>
      <c r="AC54" s="217"/>
      <c r="AD54" s="217"/>
      <c r="AE54" s="217"/>
      <c r="AF54" s="217"/>
      <c r="AG54" s="355"/>
      <c r="AH54" s="217"/>
      <c r="AI54" s="217"/>
      <c r="AJ54" s="217"/>
      <c r="AK54" s="217"/>
      <c r="AL54" s="217"/>
      <c r="AM54" s="217"/>
      <c r="AN54" s="217"/>
      <c r="AO54" s="217"/>
      <c r="AP54" s="217"/>
      <c r="AQ54" s="217"/>
      <c r="AR54" s="217"/>
      <c r="AS54" s="217"/>
      <c r="AT54" s="217"/>
      <c r="AU54" s="217"/>
    </row>
    <row r="55" spans="1:47">
      <c r="A55" s="254">
        <v>45</v>
      </c>
      <c r="B55" s="242"/>
      <c r="C55" s="367">
        <v>0.71699999999999997</v>
      </c>
      <c r="D55" s="367">
        <v>0.77400000000000002</v>
      </c>
      <c r="E55" s="366"/>
      <c r="F55" s="217"/>
      <c r="G55" s="217"/>
      <c r="H55" s="217"/>
      <c r="I55" s="217"/>
      <c r="J55" s="217"/>
      <c r="K55" s="217"/>
      <c r="L55" s="217"/>
      <c r="M55" s="217"/>
      <c r="N55" s="217"/>
      <c r="O55" s="217"/>
      <c r="P55" s="217"/>
      <c r="Q55" s="217"/>
      <c r="R55" s="355"/>
      <c r="S55" s="217"/>
      <c r="T55" s="217"/>
      <c r="U55" s="217"/>
      <c r="V55" s="217"/>
      <c r="W55" s="217"/>
      <c r="X55" s="217"/>
      <c r="Y55" s="217"/>
      <c r="Z55" s="217"/>
      <c r="AA55" s="217"/>
      <c r="AB55" s="217"/>
      <c r="AC55" s="217"/>
      <c r="AD55" s="217"/>
      <c r="AE55" s="217"/>
      <c r="AF55" s="217"/>
      <c r="AG55" s="355"/>
      <c r="AH55" s="217"/>
      <c r="AI55" s="217"/>
      <c r="AJ55" s="217"/>
      <c r="AK55" s="217"/>
      <c r="AL55" s="217"/>
      <c r="AM55" s="217"/>
      <c r="AN55" s="217"/>
      <c r="AO55" s="217"/>
      <c r="AP55" s="217"/>
      <c r="AQ55" s="217"/>
      <c r="AR55" s="217"/>
      <c r="AS55" s="217"/>
      <c r="AT55" s="217"/>
      <c r="AU55" s="217"/>
    </row>
    <row r="56" spans="1:47">
      <c r="A56" s="254">
        <v>46</v>
      </c>
      <c r="B56" s="242"/>
      <c r="C56" s="367">
        <v>0.79800000000000004</v>
      </c>
      <c r="D56" s="367">
        <v>0.8</v>
      </c>
      <c r="E56" s="366">
        <v>0.70299999999999996</v>
      </c>
      <c r="F56" s="217"/>
      <c r="G56" s="217"/>
      <c r="H56" s="217"/>
      <c r="I56" s="217"/>
      <c r="J56" s="217"/>
      <c r="K56" s="217"/>
      <c r="L56" s="217"/>
      <c r="M56" s="217"/>
      <c r="N56" s="217"/>
      <c r="O56" s="217"/>
      <c r="P56" s="217"/>
      <c r="Q56" s="217"/>
      <c r="R56" s="355"/>
      <c r="S56" s="217"/>
      <c r="T56" s="217"/>
      <c r="U56" s="217"/>
      <c r="V56" s="217"/>
      <c r="W56" s="217"/>
      <c r="X56" s="217"/>
      <c r="Y56" s="217"/>
      <c r="Z56" s="217"/>
      <c r="AA56" s="217"/>
      <c r="AB56" s="217"/>
      <c r="AC56" s="217"/>
      <c r="AD56" s="217"/>
      <c r="AE56" s="217"/>
      <c r="AF56" s="217"/>
      <c r="AG56" s="355"/>
      <c r="AH56" s="217"/>
      <c r="AI56" s="217"/>
      <c r="AJ56" s="217"/>
      <c r="AK56" s="217"/>
      <c r="AL56" s="217"/>
      <c r="AM56" s="217"/>
      <c r="AN56" s="217"/>
      <c r="AO56" s="217"/>
      <c r="AP56" s="217"/>
      <c r="AQ56" s="217"/>
      <c r="AR56" s="217"/>
      <c r="AS56" s="217"/>
      <c r="AT56" s="217"/>
      <c r="AU56" s="217"/>
    </row>
    <row r="57" spans="1:47">
      <c r="A57" s="254">
        <v>47</v>
      </c>
      <c r="B57" s="242"/>
      <c r="C57" s="365">
        <v>0.85199999999999998</v>
      </c>
      <c r="D57" s="365">
        <v>0.875</v>
      </c>
      <c r="E57" s="366"/>
      <c r="F57" s="217"/>
      <c r="G57" s="217"/>
      <c r="H57" s="217"/>
      <c r="I57" s="217"/>
      <c r="J57" s="217"/>
      <c r="K57" s="217"/>
      <c r="L57" s="217"/>
      <c r="M57" s="217"/>
      <c r="N57" s="217"/>
      <c r="O57" s="217"/>
      <c r="P57" s="217"/>
      <c r="Q57" s="217"/>
      <c r="R57" s="355"/>
      <c r="S57" s="217"/>
      <c r="T57" s="217"/>
      <c r="U57" s="217"/>
      <c r="V57" s="217"/>
      <c r="W57" s="217"/>
      <c r="X57" s="217"/>
      <c r="Y57" s="217"/>
      <c r="Z57" s="217"/>
      <c r="AA57" s="217"/>
      <c r="AB57" s="217"/>
      <c r="AC57" s="217"/>
      <c r="AD57" s="217"/>
      <c r="AE57" s="217"/>
      <c r="AF57" s="217"/>
      <c r="AG57" s="355"/>
      <c r="AH57" s="217"/>
      <c r="AI57" s="217"/>
      <c r="AJ57" s="217"/>
      <c r="AK57" s="217"/>
      <c r="AL57" s="217"/>
      <c r="AM57" s="217"/>
      <c r="AN57" s="217"/>
      <c r="AO57" s="217"/>
      <c r="AP57" s="217"/>
      <c r="AQ57" s="217"/>
      <c r="AR57" s="217"/>
      <c r="AS57" s="217"/>
      <c r="AT57" s="217"/>
      <c r="AU57" s="217"/>
    </row>
    <row r="58" spans="1:47">
      <c r="A58" s="254">
        <v>48</v>
      </c>
      <c r="B58" s="242"/>
      <c r="C58" s="365">
        <v>0.90300000000000002</v>
      </c>
      <c r="D58" s="365">
        <v>0.92600000000000005</v>
      </c>
      <c r="E58" s="366"/>
      <c r="F58" s="217"/>
      <c r="G58" s="217"/>
      <c r="H58" s="217"/>
      <c r="I58" s="217"/>
      <c r="J58" s="217"/>
      <c r="K58" s="217"/>
      <c r="L58" s="217"/>
      <c r="M58" s="217"/>
      <c r="N58" s="217"/>
      <c r="O58" s="217"/>
      <c r="P58" s="217"/>
      <c r="Q58" s="217"/>
      <c r="R58" s="355"/>
      <c r="S58" s="217"/>
      <c r="T58" s="217"/>
      <c r="U58" s="217"/>
      <c r="V58" s="217"/>
      <c r="W58" s="217"/>
      <c r="X58" s="217"/>
      <c r="Y58" s="217"/>
      <c r="Z58" s="217"/>
      <c r="AA58" s="217"/>
      <c r="AB58" s="217"/>
      <c r="AC58" s="217"/>
      <c r="AD58" s="217"/>
      <c r="AE58" s="217"/>
      <c r="AF58" s="217"/>
      <c r="AG58" s="355"/>
      <c r="AH58" s="217"/>
      <c r="AI58" s="217"/>
      <c r="AJ58" s="217"/>
      <c r="AK58" s="217"/>
      <c r="AL58" s="217"/>
      <c r="AM58" s="217"/>
      <c r="AN58" s="217"/>
      <c r="AO58" s="217"/>
      <c r="AP58" s="217"/>
      <c r="AQ58" s="217"/>
      <c r="AR58" s="217"/>
      <c r="AS58" s="217"/>
      <c r="AT58" s="217"/>
      <c r="AU58" s="217"/>
    </row>
    <row r="59" spans="1:47">
      <c r="A59" s="254">
        <v>49</v>
      </c>
      <c r="B59" s="242"/>
      <c r="C59" s="365"/>
      <c r="D59" s="365">
        <v>0.98599999999999999</v>
      </c>
      <c r="E59" s="366"/>
      <c r="F59" s="217"/>
      <c r="G59" s="217"/>
      <c r="H59" s="217"/>
      <c r="I59" s="217"/>
      <c r="J59" s="217"/>
      <c r="K59" s="217"/>
      <c r="L59" s="217"/>
      <c r="M59" s="217"/>
      <c r="N59" s="217"/>
      <c r="O59" s="217"/>
      <c r="P59" s="217"/>
      <c r="Q59" s="217"/>
      <c r="R59" s="355"/>
      <c r="S59" s="217"/>
      <c r="T59" s="217"/>
      <c r="U59" s="217"/>
      <c r="V59" s="217"/>
      <c r="W59" s="217"/>
      <c r="X59" s="217"/>
      <c r="Y59" s="217"/>
      <c r="Z59" s="217"/>
      <c r="AA59" s="217"/>
      <c r="AB59" s="217"/>
      <c r="AC59" s="217"/>
      <c r="AD59" s="217"/>
      <c r="AE59" s="217"/>
      <c r="AF59" s="217"/>
      <c r="AG59" s="355"/>
      <c r="AH59" s="217"/>
      <c r="AI59" s="217"/>
      <c r="AJ59" s="217"/>
      <c r="AK59" s="217"/>
      <c r="AL59" s="217"/>
      <c r="AM59" s="217"/>
      <c r="AN59" s="217"/>
      <c r="AO59" s="217"/>
      <c r="AP59" s="217"/>
      <c r="AQ59" s="217"/>
      <c r="AR59" s="217"/>
      <c r="AS59" s="217"/>
      <c r="AT59" s="217"/>
      <c r="AU59" s="217"/>
    </row>
    <row r="60" spans="1:47">
      <c r="A60" s="254">
        <v>50</v>
      </c>
      <c r="B60" s="242"/>
      <c r="C60" s="365">
        <v>0.99</v>
      </c>
      <c r="D60" s="365">
        <v>1.2</v>
      </c>
      <c r="E60" s="366"/>
      <c r="F60" s="217"/>
      <c r="G60" s="217"/>
      <c r="H60" s="217"/>
      <c r="I60" s="217"/>
      <c r="J60" s="217"/>
      <c r="K60" s="217"/>
      <c r="L60" s="217"/>
      <c r="M60" s="217"/>
      <c r="N60" s="217"/>
      <c r="O60" s="217"/>
      <c r="P60" s="217"/>
      <c r="Q60" s="217"/>
      <c r="R60" s="355"/>
      <c r="S60" s="217"/>
      <c r="T60" s="217"/>
      <c r="U60" s="217"/>
      <c r="V60" s="217"/>
      <c r="W60" s="217"/>
      <c r="X60" s="217"/>
      <c r="Y60" s="217"/>
      <c r="Z60" s="217"/>
      <c r="AA60" s="217"/>
      <c r="AB60" s="217"/>
      <c r="AC60" s="217"/>
      <c r="AD60" s="217"/>
      <c r="AE60" s="217"/>
      <c r="AF60" s="217"/>
      <c r="AG60" s="355"/>
      <c r="AH60" s="217"/>
      <c r="AI60" s="217"/>
      <c r="AJ60" s="217"/>
      <c r="AK60" s="217"/>
      <c r="AL60" s="217"/>
      <c r="AM60" s="217"/>
      <c r="AN60" s="217"/>
      <c r="AO60" s="217"/>
      <c r="AP60" s="217"/>
      <c r="AQ60" s="217"/>
      <c r="AR60" s="217"/>
      <c r="AS60" s="217"/>
      <c r="AT60" s="217"/>
      <c r="AU60" s="217"/>
    </row>
    <row r="61" spans="1:47">
      <c r="A61" s="254">
        <v>51</v>
      </c>
      <c r="B61" s="242"/>
      <c r="C61" s="365"/>
      <c r="D61" s="365">
        <v>1.226</v>
      </c>
      <c r="E61" s="366"/>
      <c r="F61" s="217"/>
      <c r="G61" s="217"/>
      <c r="H61" s="217"/>
      <c r="I61" s="217"/>
      <c r="J61" s="217"/>
      <c r="K61" s="217"/>
      <c r="L61" s="217"/>
      <c r="M61" s="217"/>
      <c r="N61" s="217"/>
      <c r="O61" s="217"/>
      <c r="P61" s="217"/>
      <c r="Q61" s="217"/>
      <c r="R61" s="355"/>
      <c r="S61" s="217"/>
      <c r="T61" s="217"/>
      <c r="U61" s="217"/>
      <c r="V61" s="217"/>
      <c r="W61" s="217"/>
      <c r="X61" s="217"/>
      <c r="Y61" s="217"/>
      <c r="Z61" s="217"/>
      <c r="AA61" s="217"/>
      <c r="AB61" s="217"/>
      <c r="AC61" s="217"/>
      <c r="AD61" s="217"/>
      <c r="AE61" s="217"/>
      <c r="AF61" s="217"/>
      <c r="AG61" s="355"/>
      <c r="AH61" s="217"/>
      <c r="AI61" s="217"/>
      <c r="AJ61" s="217"/>
      <c r="AK61" s="217"/>
      <c r="AL61" s="217"/>
      <c r="AM61" s="217"/>
      <c r="AN61" s="217"/>
      <c r="AO61" s="217"/>
      <c r="AP61" s="217"/>
      <c r="AQ61" s="217"/>
      <c r="AR61" s="217"/>
      <c r="AS61" s="217"/>
      <c r="AT61" s="217"/>
      <c r="AU61" s="217"/>
    </row>
    <row r="62" spans="1:47">
      <c r="A62" s="254">
        <v>52</v>
      </c>
      <c r="B62" s="242"/>
      <c r="C62" s="365">
        <v>1.1120000000000001</v>
      </c>
      <c r="D62" s="365">
        <v>1.2150000000000001</v>
      </c>
      <c r="E62" s="366"/>
      <c r="F62" s="217"/>
      <c r="G62" s="217"/>
      <c r="H62" s="217"/>
      <c r="I62" s="217"/>
      <c r="J62" s="217"/>
      <c r="K62" s="217"/>
      <c r="L62" s="217"/>
      <c r="M62" s="217"/>
      <c r="N62" s="217"/>
      <c r="O62" s="217"/>
      <c r="P62" s="217"/>
      <c r="Q62" s="217"/>
      <c r="R62" s="355"/>
      <c r="S62" s="217"/>
      <c r="T62" s="217"/>
      <c r="U62" s="217"/>
      <c r="V62" s="217"/>
      <c r="W62" s="217"/>
      <c r="X62" s="217"/>
      <c r="Y62" s="217"/>
      <c r="Z62" s="217"/>
      <c r="AA62" s="217"/>
      <c r="AB62" s="217"/>
      <c r="AC62" s="217"/>
      <c r="AD62" s="217"/>
      <c r="AE62" s="217"/>
      <c r="AF62" s="217"/>
      <c r="AG62" s="355"/>
      <c r="AH62" s="217"/>
      <c r="AI62" s="217"/>
      <c r="AJ62" s="217"/>
      <c r="AK62" s="217"/>
      <c r="AL62" s="217"/>
      <c r="AM62" s="217"/>
      <c r="AN62" s="217"/>
      <c r="AO62" s="217"/>
      <c r="AP62" s="217"/>
      <c r="AQ62" s="217"/>
      <c r="AR62" s="217"/>
      <c r="AS62" s="217"/>
      <c r="AT62" s="217"/>
      <c r="AU62" s="217"/>
    </row>
    <row r="63" spans="1:47">
      <c r="A63" s="254">
        <v>53</v>
      </c>
      <c r="B63" s="242"/>
      <c r="C63" s="365"/>
      <c r="D63" s="365">
        <v>1.2470000000000001</v>
      </c>
      <c r="E63" s="366"/>
      <c r="F63" s="217"/>
      <c r="G63" s="217"/>
      <c r="H63" s="217"/>
      <c r="I63" s="217"/>
      <c r="J63" s="217"/>
      <c r="K63" s="217"/>
      <c r="L63" s="217"/>
      <c r="M63" s="217"/>
      <c r="N63" s="217"/>
      <c r="O63" s="217"/>
      <c r="P63" s="217"/>
      <c r="Q63" s="217"/>
      <c r="R63" s="355"/>
      <c r="S63" s="217"/>
      <c r="T63" s="217"/>
      <c r="U63" s="217"/>
      <c r="V63" s="217"/>
      <c r="W63" s="217"/>
      <c r="X63" s="217"/>
      <c r="Y63" s="217"/>
      <c r="Z63" s="217"/>
      <c r="AA63" s="217"/>
      <c r="AB63" s="217"/>
      <c r="AC63" s="217"/>
      <c r="AD63" s="217"/>
      <c r="AE63" s="217"/>
      <c r="AF63" s="217"/>
      <c r="AG63" s="355"/>
      <c r="AH63" s="217"/>
      <c r="AI63" s="217"/>
      <c r="AJ63" s="217"/>
      <c r="AK63" s="217"/>
      <c r="AL63" s="217"/>
      <c r="AM63" s="217"/>
      <c r="AN63" s="217"/>
      <c r="AO63" s="217"/>
      <c r="AP63" s="217"/>
      <c r="AQ63" s="217"/>
      <c r="AR63" s="217"/>
      <c r="AS63" s="217"/>
      <c r="AT63" s="217"/>
      <c r="AU63" s="217"/>
    </row>
    <row r="64" spans="1:47">
      <c r="A64" s="254">
        <v>54</v>
      </c>
      <c r="B64" s="242"/>
      <c r="C64" s="365">
        <v>1.365</v>
      </c>
      <c r="D64" s="365">
        <v>1.252</v>
      </c>
      <c r="E64" s="366"/>
      <c r="F64" s="217"/>
      <c r="G64" s="217"/>
      <c r="H64" s="217"/>
      <c r="I64" s="217"/>
      <c r="J64" s="217"/>
      <c r="K64" s="217"/>
      <c r="L64" s="217"/>
      <c r="M64" s="217"/>
      <c r="N64" s="217"/>
      <c r="O64" s="217"/>
      <c r="P64" s="217"/>
      <c r="Q64" s="217"/>
      <c r="R64" s="355"/>
      <c r="S64" s="217"/>
      <c r="T64" s="217"/>
      <c r="U64" s="217"/>
      <c r="V64" s="217"/>
      <c r="W64" s="217"/>
      <c r="X64" s="217"/>
      <c r="Y64" s="217"/>
      <c r="Z64" s="217"/>
      <c r="AA64" s="217"/>
      <c r="AB64" s="217"/>
      <c r="AC64" s="217"/>
      <c r="AD64" s="217"/>
      <c r="AE64" s="217"/>
      <c r="AF64" s="217"/>
      <c r="AG64" s="355"/>
      <c r="AH64" s="217"/>
      <c r="AI64" s="217"/>
      <c r="AJ64" s="217"/>
      <c r="AK64" s="217"/>
      <c r="AL64" s="217"/>
      <c r="AM64" s="217"/>
      <c r="AN64" s="217"/>
      <c r="AO64" s="217"/>
      <c r="AP64" s="217"/>
      <c r="AQ64" s="217"/>
      <c r="AR64" s="217"/>
      <c r="AS64" s="217"/>
      <c r="AT64" s="217"/>
      <c r="AU64" s="217"/>
    </row>
    <row r="65" spans="1:47">
      <c r="A65" s="254">
        <v>55</v>
      </c>
      <c r="B65" s="242"/>
      <c r="C65" s="365">
        <v>1.38</v>
      </c>
      <c r="D65" s="365">
        <v>1.45</v>
      </c>
      <c r="E65" s="366"/>
      <c r="F65" s="217"/>
      <c r="G65" s="217"/>
      <c r="H65" s="217"/>
      <c r="I65" s="217"/>
      <c r="J65" s="217"/>
      <c r="K65" s="217"/>
      <c r="L65" s="217"/>
      <c r="M65" s="217"/>
      <c r="N65" s="217"/>
      <c r="O65" s="217"/>
      <c r="P65" s="217"/>
      <c r="Q65" s="217"/>
      <c r="R65" s="355"/>
      <c r="S65" s="217"/>
      <c r="T65" s="217"/>
      <c r="U65" s="217"/>
      <c r="V65" s="217"/>
      <c r="W65" s="217"/>
      <c r="X65" s="217"/>
      <c r="Y65" s="217"/>
      <c r="Z65" s="217"/>
      <c r="AA65" s="217"/>
      <c r="AB65" s="217"/>
      <c r="AC65" s="217"/>
      <c r="AD65" s="217"/>
      <c r="AE65" s="217"/>
      <c r="AF65" s="217"/>
      <c r="AG65" s="355"/>
      <c r="AH65" s="217"/>
      <c r="AI65" s="217"/>
      <c r="AJ65" s="217"/>
      <c r="AK65" s="217"/>
      <c r="AL65" s="217"/>
      <c r="AM65" s="217"/>
      <c r="AN65" s="217"/>
      <c r="AO65" s="217"/>
      <c r="AP65" s="217"/>
      <c r="AQ65" s="217"/>
      <c r="AR65" s="217"/>
      <c r="AS65" s="217"/>
      <c r="AT65" s="217"/>
      <c r="AU65" s="217"/>
    </row>
    <row r="66" spans="1:47">
      <c r="A66" s="254">
        <v>56</v>
      </c>
      <c r="B66" s="242"/>
      <c r="C66" s="365"/>
      <c r="D66" s="365">
        <v>1.72</v>
      </c>
      <c r="E66" s="366"/>
      <c r="F66" s="217"/>
      <c r="G66" s="217"/>
      <c r="H66" s="217"/>
      <c r="I66" s="217"/>
      <c r="J66" s="217"/>
      <c r="K66" s="217"/>
      <c r="L66" s="217"/>
      <c r="M66" s="217"/>
      <c r="N66" s="217"/>
      <c r="O66" s="217"/>
      <c r="P66" s="217"/>
      <c r="Q66" s="217"/>
      <c r="R66" s="355"/>
      <c r="S66" s="217"/>
      <c r="T66" s="217"/>
      <c r="U66" s="217"/>
      <c r="V66" s="217"/>
      <c r="W66" s="217"/>
      <c r="X66" s="217"/>
      <c r="Y66" s="217"/>
      <c r="Z66" s="217"/>
      <c r="AA66" s="217"/>
      <c r="AB66" s="217"/>
      <c r="AC66" s="217"/>
      <c r="AD66" s="217"/>
      <c r="AE66" s="217"/>
      <c r="AF66" s="217"/>
      <c r="AG66" s="355"/>
      <c r="AH66" s="217"/>
      <c r="AI66" s="217"/>
      <c r="AJ66" s="217"/>
      <c r="AK66" s="217"/>
      <c r="AL66" s="217"/>
      <c r="AM66" s="217"/>
      <c r="AN66" s="217"/>
      <c r="AO66" s="217"/>
      <c r="AP66" s="217"/>
      <c r="AQ66" s="217"/>
      <c r="AR66" s="217"/>
      <c r="AS66" s="217"/>
      <c r="AT66" s="217"/>
      <c r="AU66" s="217"/>
    </row>
    <row r="67" spans="1:47">
      <c r="A67" s="254">
        <v>57</v>
      </c>
      <c r="B67" s="242"/>
      <c r="C67" s="365"/>
      <c r="D67" s="365"/>
      <c r="E67" s="366"/>
      <c r="F67" s="217"/>
      <c r="G67" s="217"/>
      <c r="H67" s="217"/>
      <c r="I67" s="217"/>
      <c r="J67" s="217"/>
      <c r="K67" s="217"/>
      <c r="L67" s="217"/>
      <c r="M67" s="217"/>
      <c r="N67" s="217"/>
      <c r="O67" s="217"/>
      <c r="P67" s="217"/>
      <c r="Q67" s="217"/>
      <c r="R67" s="355"/>
      <c r="S67" s="217"/>
      <c r="T67" s="217"/>
      <c r="U67" s="217"/>
      <c r="V67" s="217"/>
      <c r="W67" s="217"/>
      <c r="X67" s="217"/>
      <c r="Y67" s="217"/>
      <c r="Z67" s="217"/>
      <c r="AA67" s="217"/>
      <c r="AB67" s="217"/>
      <c r="AC67" s="217"/>
      <c r="AD67" s="217"/>
      <c r="AE67" s="217"/>
      <c r="AF67" s="217"/>
      <c r="AG67" s="355"/>
      <c r="AH67" s="217"/>
      <c r="AI67" s="217"/>
      <c r="AJ67" s="217"/>
      <c r="AK67" s="217"/>
      <c r="AL67" s="217"/>
      <c r="AM67" s="217"/>
      <c r="AN67" s="217"/>
      <c r="AO67" s="217"/>
      <c r="AP67" s="217"/>
      <c r="AQ67" s="217"/>
      <c r="AR67" s="217"/>
      <c r="AS67" s="217"/>
      <c r="AT67" s="217"/>
      <c r="AU67" s="217"/>
    </row>
    <row r="68" spans="1:47">
      <c r="A68" s="254">
        <v>58</v>
      </c>
      <c r="B68" s="242"/>
      <c r="C68" s="243"/>
      <c r="D68" s="243"/>
      <c r="E68" s="357"/>
      <c r="F68" s="217"/>
      <c r="G68" s="217"/>
      <c r="H68" s="217"/>
      <c r="I68" s="217"/>
      <c r="J68" s="217"/>
      <c r="K68" s="217"/>
      <c r="L68" s="217"/>
      <c r="M68" s="217"/>
      <c r="N68" s="217"/>
      <c r="O68" s="217"/>
      <c r="P68" s="217"/>
      <c r="Q68" s="217"/>
      <c r="R68" s="355"/>
      <c r="S68" s="217"/>
      <c r="T68" s="217"/>
      <c r="U68" s="217"/>
      <c r="V68" s="217"/>
      <c r="W68" s="217"/>
      <c r="X68" s="217"/>
      <c r="Y68" s="217"/>
      <c r="Z68" s="217"/>
      <c r="AA68" s="217"/>
      <c r="AB68" s="217"/>
      <c r="AC68" s="217"/>
      <c r="AD68" s="217"/>
      <c r="AE68" s="217"/>
      <c r="AF68" s="217"/>
      <c r="AG68" s="355"/>
      <c r="AH68" s="217"/>
      <c r="AI68" s="217"/>
      <c r="AJ68" s="217"/>
      <c r="AK68" s="217"/>
      <c r="AL68" s="217"/>
      <c r="AM68" s="217"/>
      <c r="AN68" s="217"/>
      <c r="AO68" s="217"/>
      <c r="AP68" s="217"/>
      <c r="AQ68" s="217"/>
      <c r="AR68" s="217"/>
      <c r="AS68" s="217"/>
      <c r="AT68" s="217"/>
      <c r="AU68" s="217"/>
    </row>
    <row r="69" spans="1:47">
      <c r="A69" s="254">
        <v>59</v>
      </c>
      <c r="B69" s="242"/>
      <c r="C69" s="243"/>
      <c r="D69" s="243"/>
      <c r="E69" s="357"/>
      <c r="F69" s="217"/>
      <c r="G69" s="217"/>
      <c r="H69" s="217"/>
      <c r="I69" s="217"/>
      <c r="J69" s="217"/>
      <c r="K69" s="217"/>
      <c r="L69" s="217"/>
      <c r="M69" s="217"/>
      <c r="N69" s="217"/>
      <c r="O69" s="217"/>
      <c r="P69" s="217"/>
      <c r="Q69" s="217"/>
      <c r="R69" s="355"/>
      <c r="S69" s="217"/>
      <c r="T69" s="217"/>
      <c r="U69" s="217"/>
      <c r="V69" s="217"/>
      <c r="W69" s="217"/>
      <c r="X69" s="217"/>
      <c r="Y69" s="217"/>
      <c r="Z69" s="217"/>
      <c r="AA69" s="217"/>
      <c r="AB69" s="217"/>
      <c r="AC69" s="217"/>
      <c r="AD69" s="217"/>
      <c r="AE69" s="217"/>
      <c r="AF69" s="217"/>
      <c r="AG69" s="355"/>
      <c r="AH69" s="217"/>
      <c r="AI69" s="217"/>
      <c r="AJ69" s="217"/>
      <c r="AK69" s="217"/>
      <c r="AL69" s="217"/>
      <c r="AM69" s="217"/>
      <c r="AN69" s="217"/>
      <c r="AO69" s="217"/>
      <c r="AP69" s="217"/>
      <c r="AQ69" s="217"/>
      <c r="AR69" s="217"/>
      <c r="AS69" s="217"/>
      <c r="AT69" s="217"/>
      <c r="AU69" s="217"/>
    </row>
    <row r="70" spans="1:47">
      <c r="A70" s="254">
        <v>60</v>
      </c>
      <c r="B70" s="242"/>
      <c r="C70" s="243"/>
      <c r="D70" s="243"/>
      <c r="E70" s="357"/>
      <c r="F70" s="217"/>
      <c r="G70" s="217"/>
      <c r="H70" s="217"/>
      <c r="I70" s="217"/>
      <c r="J70" s="217"/>
      <c r="K70" s="217"/>
      <c r="L70" s="217"/>
      <c r="M70" s="217"/>
      <c r="N70" s="217"/>
      <c r="O70" s="217"/>
      <c r="P70" s="217"/>
      <c r="Q70" s="217"/>
      <c r="R70" s="355"/>
      <c r="S70" s="217"/>
      <c r="T70" s="217"/>
      <c r="U70" s="217"/>
      <c r="V70" s="217"/>
      <c r="W70" s="217"/>
      <c r="X70" s="217"/>
      <c r="Y70" s="217"/>
      <c r="Z70" s="217"/>
      <c r="AA70" s="217"/>
      <c r="AB70" s="217"/>
      <c r="AC70" s="217"/>
      <c r="AD70" s="217"/>
      <c r="AE70" s="217"/>
      <c r="AF70" s="217"/>
      <c r="AG70" s="355"/>
      <c r="AH70" s="217"/>
      <c r="AI70" s="217"/>
      <c r="AJ70" s="217"/>
      <c r="AK70" s="217"/>
      <c r="AL70" s="217"/>
      <c r="AM70" s="217"/>
      <c r="AN70" s="217"/>
      <c r="AO70" s="217"/>
      <c r="AP70" s="217"/>
      <c r="AQ70" s="217"/>
      <c r="AR70" s="217"/>
      <c r="AS70" s="217"/>
      <c r="AT70" s="217"/>
      <c r="AU70" s="217"/>
    </row>
    <row r="71" spans="1:47">
      <c r="A71" s="254">
        <v>61</v>
      </c>
      <c r="B71" s="242"/>
      <c r="C71" s="243"/>
      <c r="D71" s="243"/>
      <c r="E71" s="357"/>
      <c r="F71" s="217"/>
      <c r="G71" s="217"/>
      <c r="H71" s="217"/>
      <c r="I71" s="217"/>
      <c r="J71" s="217"/>
      <c r="K71" s="217"/>
      <c r="L71" s="217"/>
      <c r="M71" s="217"/>
      <c r="N71" s="217"/>
      <c r="O71" s="217"/>
      <c r="P71" s="217"/>
      <c r="Q71" s="217"/>
      <c r="R71" s="355"/>
      <c r="S71" s="217"/>
      <c r="T71" s="217"/>
      <c r="U71" s="217"/>
      <c r="V71" s="217"/>
      <c r="W71" s="217"/>
      <c r="X71" s="217"/>
      <c r="Y71" s="217"/>
      <c r="Z71" s="217"/>
      <c r="AA71" s="217"/>
      <c r="AB71" s="217"/>
      <c r="AC71" s="217"/>
      <c r="AD71" s="217"/>
      <c r="AE71" s="217"/>
      <c r="AF71" s="217"/>
      <c r="AG71" s="355"/>
      <c r="AH71" s="217"/>
      <c r="AI71" s="217"/>
      <c r="AJ71" s="217"/>
      <c r="AK71" s="217"/>
      <c r="AL71" s="217"/>
      <c r="AM71" s="217"/>
      <c r="AN71" s="217"/>
      <c r="AO71" s="217"/>
      <c r="AP71" s="217"/>
      <c r="AQ71" s="217"/>
      <c r="AR71" s="217"/>
      <c r="AS71" s="217"/>
      <c r="AT71" s="217"/>
      <c r="AU71" s="217"/>
    </row>
    <row r="72" spans="1:47">
      <c r="A72" s="254">
        <v>62</v>
      </c>
      <c r="B72" s="242"/>
      <c r="C72" s="243"/>
      <c r="D72" s="243"/>
      <c r="E72" s="357"/>
      <c r="F72" s="217"/>
      <c r="G72" s="217"/>
      <c r="H72" s="217"/>
      <c r="I72" s="217"/>
      <c r="J72" s="217"/>
      <c r="K72" s="217"/>
      <c r="L72" s="217"/>
      <c r="M72" s="217"/>
      <c r="N72" s="217"/>
      <c r="O72" s="217"/>
      <c r="P72" s="217"/>
      <c r="Q72" s="217"/>
      <c r="R72" s="355"/>
      <c r="S72" s="217"/>
      <c r="T72" s="217"/>
      <c r="U72" s="217"/>
      <c r="V72" s="217"/>
      <c r="W72" s="217"/>
      <c r="X72" s="217"/>
      <c r="Y72" s="217"/>
      <c r="Z72" s="217"/>
      <c r="AA72" s="217"/>
      <c r="AB72" s="217"/>
      <c r="AC72" s="217"/>
      <c r="AD72" s="217"/>
      <c r="AE72" s="217"/>
      <c r="AF72" s="217"/>
      <c r="AG72" s="355"/>
      <c r="AH72" s="217"/>
      <c r="AI72" s="217"/>
      <c r="AJ72" s="217"/>
      <c r="AK72" s="217"/>
      <c r="AL72" s="217"/>
      <c r="AM72" s="217"/>
      <c r="AN72" s="217"/>
      <c r="AO72" s="217"/>
      <c r="AP72" s="217"/>
      <c r="AQ72" s="217"/>
      <c r="AR72" s="217"/>
      <c r="AS72" s="217"/>
      <c r="AT72" s="217"/>
      <c r="AU72" s="217"/>
    </row>
    <row r="73" spans="1:47">
      <c r="A73" s="254">
        <v>63</v>
      </c>
      <c r="B73" s="242"/>
      <c r="C73" s="243"/>
      <c r="D73" s="243"/>
      <c r="E73" s="357"/>
      <c r="F73" s="217"/>
      <c r="G73" s="217"/>
      <c r="H73" s="217"/>
      <c r="I73" s="217"/>
      <c r="J73" s="217"/>
      <c r="K73" s="217"/>
      <c r="L73" s="217"/>
      <c r="M73" s="217"/>
      <c r="N73" s="217"/>
      <c r="O73" s="217"/>
      <c r="P73" s="217"/>
      <c r="Q73" s="217"/>
      <c r="R73" s="355"/>
      <c r="S73" s="217"/>
      <c r="T73" s="217"/>
      <c r="U73" s="217"/>
      <c r="V73" s="217"/>
      <c r="W73" s="217"/>
      <c r="X73" s="217"/>
      <c r="Y73" s="217"/>
      <c r="Z73" s="217"/>
      <c r="AA73" s="217"/>
      <c r="AB73" s="217"/>
      <c r="AC73" s="217"/>
      <c r="AD73" s="217"/>
      <c r="AE73" s="217"/>
      <c r="AF73" s="217"/>
      <c r="AG73" s="355"/>
      <c r="AH73" s="217"/>
      <c r="AI73" s="217"/>
      <c r="AJ73" s="217"/>
      <c r="AK73" s="217"/>
      <c r="AL73" s="217"/>
      <c r="AM73" s="217"/>
      <c r="AN73" s="217"/>
      <c r="AO73" s="217"/>
      <c r="AP73" s="217"/>
      <c r="AQ73" s="217"/>
      <c r="AR73" s="217"/>
      <c r="AS73" s="217"/>
      <c r="AT73" s="217"/>
      <c r="AU73" s="217"/>
    </row>
    <row r="74" spans="1:47">
      <c r="A74" s="254">
        <v>64</v>
      </c>
      <c r="B74" s="242"/>
      <c r="C74" s="243"/>
      <c r="D74" s="243"/>
      <c r="E74" s="357"/>
      <c r="F74" s="217"/>
      <c r="G74" s="217"/>
      <c r="H74" s="217"/>
      <c r="I74" s="217"/>
      <c r="J74" s="217"/>
      <c r="K74" s="217"/>
      <c r="L74" s="217"/>
      <c r="M74" s="217"/>
      <c r="N74" s="217"/>
      <c r="O74" s="217"/>
      <c r="P74" s="217"/>
      <c r="Q74" s="217"/>
      <c r="R74" s="355"/>
      <c r="S74" s="217"/>
      <c r="T74" s="217"/>
      <c r="U74" s="217"/>
      <c r="V74" s="217"/>
      <c r="W74" s="217"/>
      <c r="X74" s="217"/>
      <c r="Y74" s="217"/>
      <c r="Z74" s="217"/>
      <c r="AA74" s="217"/>
      <c r="AB74" s="217"/>
      <c r="AC74" s="217"/>
      <c r="AD74" s="217"/>
      <c r="AE74" s="217"/>
      <c r="AF74" s="217"/>
      <c r="AG74" s="355"/>
      <c r="AH74" s="217"/>
      <c r="AI74" s="217"/>
      <c r="AJ74" s="217"/>
      <c r="AK74" s="217"/>
      <c r="AL74" s="217"/>
      <c r="AM74" s="217"/>
      <c r="AN74" s="217"/>
      <c r="AO74" s="217"/>
      <c r="AP74" s="217"/>
      <c r="AQ74" s="217"/>
      <c r="AR74" s="217"/>
      <c r="AS74" s="217"/>
      <c r="AT74" s="217"/>
      <c r="AU74" s="217"/>
    </row>
    <row r="75" spans="1:47">
      <c r="A75" s="254">
        <v>65</v>
      </c>
      <c r="B75" s="242"/>
      <c r="C75" s="243"/>
      <c r="D75" s="243"/>
      <c r="E75" s="357"/>
      <c r="F75" s="217"/>
      <c r="G75" s="217"/>
      <c r="H75" s="217"/>
      <c r="I75" s="217"/>
      <c r="J75" s="217"/>
      <c r="K75" s="217"/>
      <c r="L75" s="217"/>
      <c r="M75" s="217"/>
      <c r="N75" s="217"/>
      <c r="O75" s="217"/>
      <c r="P75" s="217"/>
      <c r="Q75" s="217"/>
      <c r="R75" s="355"/>
      <c r="S75" s="217"/>
      <c r="T75" s="217"/>
      <c r="U75" s="217"/>
      <c r="V75" s="217"/>
      <c r="W75" s="217"/>
      <c r="X75" s="217"/>
      <c r="Y75" s="217"/>
      <c r="Z75" s="217"/>
      <c r="AA75" s="217"/>
      <c r="AB75" s="217"/>
      <c r="AC75" s="217"/>
      <c r="AD75" s="217"/>
      <c r="AE75" s="217"/>
      <c r="AF75" s="217"/>
      <c r="AG75" s="355"/>
      <c r="AH75" s="217"/>
      <c r="AI75" s="217"/>
      <c r="AJ75" s="217"/>
      <c r="AK75" s="217"/>
      <c r="AL75" s="217"/>
      <c r="AM75" s="217"/>
      <c r="AN75" s="217"/>
      <c r="AO75" s="217"/>
      <c r="AP75" s="217"/>
      <c r="AQ75" s="217"/>
      <c r="AR75" s="217"/>
      <c r="AS75" s="217"/>
      <c r="AT75" s="217"/>
      <c r="AU75" s="217"/>
    </row>
    <row r="76" spans="1:47">
      <c r="A76" s="254">
        <v>66</v>
      </c>
      <c r="B76" s="242"/>
      <c r="C76" s="243"/>
      <c r="D76" s="243"/>
      <c r="E76" s="357"/>
      <c r="F76" s="217"/>
      <c r="G76" s="217"/>
      <c r="H76" s="217"/>
      <c r="I76" s="217"/>
      <c r="J76" s="217"/>
      <c r="K76" s="217"/>
      <c r="L76" s="217"/>
      <c r="M76" s="217"/>
      <c r="N76" s="217"/>
      <c r="O76" s="217"/>
      <c r="P76" s="217"/>
      <c r="Q76" s="217"/>
      <c r="R76" s="355"/>
      <c r="S76" s="217"/>
      <c r="T76" s="217"/>
      <c r="U76" s="217"/>
      <c r="V76" s="217"/>
      <c r="W76" s="217"/>
      <c r="X76" s="217"/>
      <c r="Y76" s="217"/>
      <c r="Z76" s="217"/>
      <c r="AA76" s="217"/>
      <c r="AB76" s="217"/>
      <c r="AC76" s="217"/>
      <c r="AD76" s="217"/>
      <c r="AE76" s="217"/>
      <c r="AF76" s="217"/>
      <c r="AG76" s="355"/>
      <c r="AH76" s="217"/>
      <c r="AI76" s="217"/>
      <c r="AJ76" s="217"/>
      <c r="AK76" s="217"/>
      <c r="AL76" s="217"/>
      <c r="AM76" s="217"/>
      <c r="AN76" s="217"/>
      <c r="AO76" s="217"/>
      <c r="AP76" s="217"/>
      <c r="AQ76" s="217"/>
      <c r="AR76" s="217"/>
      <c r="AS76" s="217"/>
      <c r="AT76" s="217"/>
      <c r="AU76" s="217"/>
    </row>
    <row r="77" spans="1:47">
      <c r="A77" s="254">
        <v>67</v>
      </c>
      <c r="B77" s="242"/>
      <c r="C77" s="243"/>
      <c r="D77" s="243"/>
      <c r="E77" s="357"/>
      <c r="F77" s="217"/>
      <c r="G77" s="217"/>
      <c r="H77" s="217"/>
      <c r="I77" s="217"/>
      <c r="J77" s="217"/>
      <c r="K77" s="217"/>
      <c r="L77" s="217"/>
      <c r="M77" s="217"/>
      <c r="N77" s="217"/>
      <c r="O77" s="217"/>
      <c r="P77" s="217"/>
      <c r="Q77" s="217"/>
      <c r="R77" s="355"/>
      <c r="S77" s="217"/>
      <c r="T77" s="217"/>
      <c r="U77" s="217"/>
      <c r="V77" s="217"/>
      <c r="W77" s="217"/>
      <c r="X77" s="217"/>
      <c r="Y77" s="217"/>
      <c r="Z77" s="217"/>
      <c r="AA77" s="217"/>
      <c r="AB77" s="217"/>
      <c r="AC77" s="217"/>
      <c r="AD77" s="217"/>
      <c r="AE77" s="217"/>
      <c r="AF77" s="217"/>
      <c r="AG77" s="355"/>
      <c r="AH77" s="217"/>
      <c r="AI77" s="217"/>
      <c r="AJ77" s="217"/>
      <c r="AK77" s="217"/>
      <c r="AL77" s="217"/>
      <c r="AM77" s="217"/>
      <c r="AN77" s="217"/>
      <c r="AO77" s="217"/>
      <c r="AP77" s="217"/>
      <c r="AQ77" s="217"/>
      <c r="AR77" s="217"/>
      <c r="AS77" s="217"/>
      <c r="AT77" s="217"/>
      <c r="AU77" s="217"/>
    </row>
    <row r="78" spans="1:47">
      <c r="A78" s="254">
        <v>68</v>
      </c>
      <c r="B78" s="242"/>
      <c r="C78" s="243"/>
      <c r="D78" s="243"/>
      <c r="E78" s="357"/>
      <c r="F78" s="217"/>
      <c r="G78" s="217"/>
      <c r="H78" s="217"/>
      <c r="I78" s="217"/>
      <c r="J78" s="217"/>
      <c r="K78" s="217"/>
      <c r="L78" s="217"/>
      <c r="M78" s="217"/>
      <c r="N78" s="217"/>
      <c r="O78" s="217"/>
      <c r="P78" s="217"/>
      <c r="Q78" s="217"/>
      <c r="R78" s="355"/>
      <c r="S78" s="217"/>
      <c r="T78" s="217"/>
      <c r="U78" s="217"/>
      <c r="V78" s="217"/>
      <c r="W78" s="217"/>
      <c r="X78" s="217"/>
      <c r="Y78" s="217"/>
      <c r="Z78" s="217"/>
      <c r="AA78" s="217"/>
      <c r="AB78" s="217"/>
      <c r="AC78" s="217"/>
      <c r="AD78" s="217"/>
      <c r="AE78" s="217"/>
      <c r="AF78" s="217"/>
      <c r="AG78" s="355"/>
      <c r="AH78" s="217"/>
      <c r="AI78" s="217"/>
      <c r="AJ78" s="217"/>
      <c r="AK78" s="217"/>
      <c r="AL78" s="217"/>
      <c r="AM78" s="217"/>
      <c r="AN78" s="217"/>
      <c r="AO78" s="217"/>
      <c r="AP78" s="217"/>
      <c r="AQ78" s="217"/>
      <c r="AR78" s="217"/>
      <c r="AS78" s="217"/>
      <c r="AT78" s="217"/>
      <c r="AU78" s="217"/>
    </row>
    <row r="79" spans="1:47">
      <c r="A79" s="254">
        <v>69</v>
      </c>
      <c r="B79" s="242"/>
      <c r="C79" s="243"/>
      <c r="D79" s="243"/>
      <c r="E79" s="357"/>
      <c r="F79" s="217"/>
      <c r="G79" s="217"/>
      <c r="H79" s="217"/>
      <c r="I79" s="217"/>
      <c r="J79" s="217"/>
      <c r="K79" s="217"/>
      <c r="L79" s="217"/>
      <c r="M79" s="217"/>
      <c r="N79" s="217"/>
      <c r="O79" s="217"/>
      <c r="P79" s="217"/>
      <c r="Q79" s="217"/>
      <c r="R79" s="355"/>
      <c r="S79" s="217"/>
      <c r="T79" s="217"/>
      <c r="U79" s="217"/>
      <c r="V79" s="217"/>
      <c r="W79" s="217"/>
      <c r="X79" s="217"/>
      <c r="Y79" s="217"/>
      <c r="Z79" s="217"/>
      <c r="AA79" s="217"/>
      <c r="AB79" s="217"/>
      <c r="AC79" s="217"/>
      <c r="AD79" s="217"/>
      <c r="AE79" s="217"/>
      <c r="AF79" s="217"/>
      <c r="AG79" s="355"/>
      <c r="AH79" s="217"/>
      <c r="AI79" s="217"/>
      <c r="AJ79" s="217"/>
      <c r="AK79" s="217"/>
      <c r="AL79" s="217"/>
      <c r="AM79" s="217"/>
      <c r="AN79" s="217"/>
      <c r="AO79" s="217"/>
      <c r="AP79" s="217"/>
      <c r="AQ79" s="217"/>
      <c r="AR79" s="217"/>
      <c r="AS79" s="217"/>
      <c r="AT79" s="217"/>
      <c r="AU79" s="217"/>
    </row>
    <row r="80" spans="1:47">
      <c r="A80" s="254">
        <v>70</v>
      </c>
      <c r="B80" s="242"/>
      <c r="C80" s="243"/>
      <c r="D80" s="243"/>
      <c r="E80" s="357"/>
      <c r="F80" s="217"/>
      <c r="G80" s="217"/>
      <c r="H80" s="217"/>
      <c r="I80" s="217"/>
      <c r="J80" s="217"/>
      <c r="K80" s="217"/>
      <c r="L80" s="217"/>
      <c r="M80" s="217"/>
      <c r="N80" s="217"/>
      <c r="O80" s="217"/>
      <c r="P80" s="217"/>
      <c r="Q80" s="217"/>
      <c r="R80" s="355"/>
      <c r="S80" s="217"/>
      <c r="T80" s="217"/>
      <c r="U80" s="217"/>
      <c r="V80" s="217"/>
      <c r="W80" s="217"/>
      <c r="X80" s="217"/>
      <c r="Y80" s="217"/>
      <c r="Z80" s="217"/>
      <c r="AA80" s="217"/>
      <c r="AB80" s="217"/>
      <c r="AC80" s="217"/>
      <c r="AD80" s="217"/>
      <c r="AE80" s="217"/>
      <c r="AF80" s="217"/>
      <c r="AG80" s="355"/>
      <c r="AH80" s="217"/>
      <c r="AI80" s="217"/>
      <c r="AJ80" s="217"/>
      <c r="AK80" s="217"/>
      <c r="AL80" s="217"/>
      <c r="AM80" s="217"/>
      <c r="AN80" s="217"/>
      <c r="AO80" s="217"/>
      <c r="AP80" s="217"/>
      <c r="AQ80" s="217"/>
      <c r="AR80" s="217"/>
      <c r="AS80" s="217"/>
      <c r="AT80" s="217"/>
      <c r="AU80" s="217"/>
    </row>
    <row r="81" spans="1:47">
      <c r="A81" s="254">
        <v>71</v>
      </c>
      <c r="B81" s="242"/>
      <c r="C81" s="243"/>
      <c r="D81" s="243"/>
      <c r="E81" s="357"/>
      <c r="F81" s="217"/>
      <c r="G81" s="217"/>
      <c r="H81" s="217"/>
      <c r="I81" s="217"/>
      <c r="J81" s="217"/>
      <c r="K81" s="217"/>
      <c r="L81" s="217"/>
      <c r="M81" s="217"/>
      <c r="N81" s="217"/>
      <c r="O81" s="217"/>
      <c r="P81" s="217"/>
      <c r="Q81" s="217"/>
      <c r="R81" s="355"/>
      <c r="S81" s="217"/>
      <c r="T81" s="217"/>
      <c r="U81" s="217"/>
      <c r="V81" s="217"/>
      <c r="W81" s="217"/>
      <c r="X81" s="217"/>
      <c r="Y81" s="217"/>
      <c r="Z81" s="217"/>
      <c r="AA81" s="217"/>
      <c r="AB81" s="217"/>
      <c r="AC81" s="217"/>
      <c r="AD81" s="217"/>
      <c r="AE81" s="217"/>
      <c r="AF81" s="217"/>
      <c r="AG81" s="355"/>
      <c r="AH81" s="217"/>
      <c r="AI81" s="217"/>
      <c r="AJ81" s="217"/>
      <c r="AK81" s="217"/>
      <c r="AL81" s="217"/>
      <c r="AM81" s="217"/>
      <c r="AN81" s="217"/>
      <c r="AO81" s="217"/>
      <c r="AP81" s="217"/>
      <c r="AQ81" s="217"/>
      <c r="AR81" s="217"/>
      <c r="AS81" s="217"/>
      <c r="AT81" s="217"/>
      <c r="AU81" s="217"/>
    </row>
    <row r="82" spans="1:47">
      <c r="A82" s="254">
        <v>72</v>
      </c>
      <c r="B82" s="242"/>
      <c r="C82" s="243"/>
      <c r="D82" s="243"/>
      <c r="E82" s="357"/>
      <c r="F82" s="217"/>
      <c r="G82" s="217"/>
      <c r="H82" s="217"/>
      <c r="I82" s="217"/>
      <c r="J82" s="217"/>
      <c r="K82" s="217"/>
      <c r="L82" s="217"/>
      <c r="M82" s="217"/>
      <c r="N82" s="217"/>
      <c r="O82" s="217"/>
      <c r="P82" s="217"/>
      <c r="Q82" s="217"/>
      <c r="R82" s="355"/>
      <c r="S82" s="217"/>
      <c r="T82" s="217"/>
      <c r="U82" s="217"/>
      <c r="V82" s="217"/>
      <c r="W82" s="217"/>
      <c r="X82" s="217"/>
      <c r="Y82" s="217"/>
      <c r="Z82" s="217"/>
      <c r="AA82" s="217"/>
      <c r="AB82" s="217"/>
      <c r="AC82" s="217"/>
      <c r="AD82" s="217"/>
      <c r="AE82" s="217"/>
      <c r="AF82" s="217"/>
      <c r="AG82" s="355"/>
      <c r="AH82" s="217"/>
      <c r="AI82" s="217"/>
      <c r="AJ82" s="217"/>
      <c r="AK82" s="217"/>
      <c r="AL82" s="217"/>
      <c r="AM82" s="217"/>
      <c r="AN82" s="217"/>
      <c r="AO82" s="217"/>
      <c r="AP82" s="217"/>
      <c r="AQ82" s="217"/>
      <c r="AR82" s="217"/>
      <c r="AS82" s="217"/>
      <c r="AT82" s="217"/>
      <c r="AU82" s="217"/>
    </row>
    <row r="83" spans="1:47">
      <c r="A83" s="254">
        <v>73</v>
      </c>
      <c r="B83" s="242"/>
      <c r="C83" s="243"/>
      <c r="D83" s="243"/>
      <c r="E83" s="357"/>
      <c r="F83" s="217"/>
      <c r="G83" s="217"/>
      <c r="H83" s="217"/>
      <c r="I83" s="217"/>
      <c r="J83" s="217"/>
      <c r="K83" s="217"/>
      <c r="L83" s="217"/>
      <c r="M83" s="217"/>
      <c r="N83" s="217"/>
      <c r="O83" s="217"/>
      <c r="P83" s="217"/>
      <c r="Q83" s="217"/>
      <c r="R83" s="355"/>
      <c r="S83" s="217"/>
      <c r="T83" s="217"/>
      <c r="U83" s="217"/>
      <c r="V83" s="217"/>
      <c r="W83" s="217"/>
      <c r="X83" s="217"/>
      <c r="Y83" s="217"/>
      <c r="Z83" s="217"/>
      <c r="AA83" s="217"/>
      <c r="AB83" s="217"/>
      <c r="AC83" s="217"/>
      <c r="AD83" s="217"/>
      <c r="AE83" s="217"/>
      <c r="AF83" s="217"/>
      <c r="AG83" s="355"/>
      <c r="AH83" s="217"/>
      <c r="AI83" s="217"/>
      <c r="AJ83" s="217"/>
      <c r="AK83" s="217"/>
      <c r="AL83" s="217"/>
      <c r="AM83" s="217"/>
      <c r="AN83" s="217"/>
      <c r="AO83" s="217"/>
      <c r="AP83" s="217"/>
      <c r="AQ83" s="217"/>
      <c r="AR83" s="217"/>
      <c r="AS83" s="217"/>
      <c r="AT83" s="217"/>
      <c r="AU83" s="217"/>
    </row>
    <row r="84" spans="1:47">
      <c r="A84" s="254">
        <v>74</v>
      </c>
      <c r="B84" s="242"/>
      <c r="C84" s="243"/>
      <c r="D84" s="243"/>
      <c r="E84" s="357"/>
      <c r="F84" s="217"/>
      <c r="G84" s="217"/>
      <c r="H84" s="217"/>
      <c r="I84" s="217"/>
      <c r="J84" s="217"/>
      <c r="K84" s="217"/>
      <c r="L84" s="217"/>
      <c r="M84" s="217"/>
      <c r="N84" s="217"/>
      <c r="O84" s="217"/>
      <c r="P84" s="217"/>
      <c r="Q84" s="217"/>
      <c r="R84" s="355"/>
      <c r="S84" s="217"/>
      <c r="T84" s="217"/>
      <c r="U84" s="217"/>
      <c r="V84" s="217"/>
      <c r="W84" s="217"/>
      <c r="X84" s="217"/>
      <c r="Y84" s="217"/>
      <c r="Z84" s="217"/>
      <c r="AA84" s="217"/>
      <c r="AB84" s="217"/>
      <c r="AC84" s="217"/>
      <c r="AD84" s="217"/>
      <c r="AE84" s="217"/>
      <c r="AF84" s="217"/>
      <c r="AG84" s="355"/>
      <c r="AH84" s="217"/>
      <c r="AI84" s="217"/>
      <c r="AJ84" s="217"/>
      <c r="AK84" s="217"/>
      <c r="AL84" s="217"/>
      <c r="AM84" s="217"/>
      <c r="AN84" s="217"/>
      <c r="AO84" s="217"/>
      <c r="AP84" s="217"/>
      <c r="AQ84" s="217"/>
      <c r="AR84" s="217"/>
      <c r="AS84" s="217"/>
      <c r="AT84" s="217"/>
      <c r="AU84" s="217"/>
    </row>
    <row r="85" spans="1:47">
      <c r="A85" s="254">
        <v>75</v>
      </c>
      <c r="B85" s="242"/>
      <c r="C85" s="243"/>
      <c r="D85" s="243"/>
      <c r="E85" s="357"/>
      <c r="F85" s="217"/>
      <c r="G85" s="217"/>
      <c r="H85" s="217"/>
      <c r="I85" s="217"/>
      <c r="J85" s="217"/>
      <c r="K85" s="217"/>
      <c r="L85" s="217"/>
      <c r="M85" s="217"/>
      <c r="N85" s="217"/>
      <c r="O85" s="217"/>
      <c r="P85" s="217"/>
      <c r="Q85" s="217"/>
      <c r="R85" s="355"/>
      <c r="S85" s="217"/>
      <c r="T85" s="217"/>
      <c r="U85" s="217"/>
      <c r="V85" s="217"/>
      <c r="W85" s="217"/>
      <c r="X85" s="217"/>
      <c r="Y85" s="217"/>
      <c r="Z85" s="217"/>
      <c r="AA85" s="217"/>
      <c r="AB85" s="217"/>
      <c r="AC85" s="217"/>
      <c r="AD85" s="217"/>
      <c r="AE85" s="217"/>
      <c r="AF85" s="217"/>
      <c r="AG85" s="355"/>
      <c r="AH85" s="217"/>
      <c r="AI85" s="217"/>
      <c r="AJ85" s="217"/>
      <c r="AK85" s="217"/>
      <c r="AL85" s="217"/>
      <c r="AM85" s="217"/>
      <c r="AN85" s="217"/>
      <c r="AO85" s="217"/>
      <c r="AP85" s="217"/>
      <c r="AQ85" s="217"/>
      <c r="AR85" s="217"/>
      <c r="AS85" s="217"/>
      <c r="AT85" s="217"/>
      <c r="AU85" s="217"/>
    </row>
    <row r="86" spans="1:47">
      <c r="A86" s="254">
        <v>76</v>
      </c>
      <c r="B86" s="242"/>
      <c r="C86" s="243"/>
      <c r="D86" s="243"/>
      <c r="E86" s="357"/>
      <c r="F86" s="217"/>
      <c r="G86" s="217"/>
      <c r="H86" s="217"/>
      <c r="I86" s="217"/>
      <c r="J86" s="217"/>
      <c r="K86" s="217"/>
      <c r="L86" s="217"/>
      <c r="M86" s="217"/>
      <c r="N86" s="217"/>
      <c r="O86" s="217"/>
      <c r="P86" s="217"/>
      <c r="Q86" s="217"/>
      <c r="R86" s="355"/>
      <c r="S86" s="217"/>
      <c r="T86" s="217"/>
      <c r="U86" s="217"/>
      <c r="V86" s="217"/>
      <c r="W86" s="217"/>
      <c r="X86" s="217"/>
      <c r="Y86" s="217"/>
      <c r="Z86" s="217"/>
      <c r="AA86" s="217"/>
      <c r="AB86" s="217"/>
      <c r="AC86" s="217"/>
      <c r="AD86" s="217"/>
      <c r="AE86" s="217"/>
      <c r="AF86" s="217"/>
      <c r="AG86" s="355"/>
      <c r="AH86" s="217"/>
      <c r="AI86" s="217"/>
      <c r="AJ86" s="217"/>
      <c r="AK86" s="217"/>
      <c r="AL86" s="217"/>
      <c r="AM86" s="217"/>
      <c r="AN86" s="217"/>
      <c r="AO86" s="217"/>
      <c r="AP86" s="217"/>
      <c r="AQ86" s="217"/>
      <c r="AR86" s="217"/>
      <c r="AS86" s="217"/>
      <c r="AT86" s="217"/>
      <c r="AU86" s="217"/>
    </row>
    <row r="87" spans="1:47">
      <c r="A87" s="254">
        <v>77</v>
      </c>
      <c r="B87" s="242"/>
      <c r="C87" s="243"/>
      <c r="D87" s="243"/>
      <c r="E87" s="357"/>
      <c r="F87" s="217"/>
      <c r="G87" s="217"/>
      <c r="H87" s="217"/>
      <c r="I87" s="217"/>
      <c r="J87" s="217"/>
      <c r="K87" s="217"/>
      <c r="L87" s="217"/>
      <c r="M87" s="217"/>
      <c r="N87" s="217"/>
      <c r="O87" s="217"/>
      <c r="P87" s="217"/>
      <c r="Q87" s="217"/>
      <c r="R87" s="355"/>
      <c r="S87" s="217"/>
      <c r="T87" s="217"/>
      <c r="U87" s="217"/>
      <c r="V87" s="217"/>
      <c r="W87" s="217"/>
      <c r="X87" s="217"/>
      <c r="Y87" s="217"/>
      <c r="Z87" s="217"/>
      <c r="AA87" s="217"/>
      <c r="AB87" s="217"/>
      <c r="AC87" s="217"/>
      <c r="AD87" s="217"/>
      <c r="AE87" s="217"/>
      <c r="AF87" s="217"/>
      <c r="AG87" s="355"/>
      <c r="AH87" s="217"/>
      <c r="AI87" s="217"/>
      <c r="AJ87" s="217"/>
      <c r="AK87" s="217"/>
      <c r="AL87" s="217"/>
      <c r="AM87" s="217"/>
      <c r="AN87" s="217"/>
      <c r="AO87" s="217"/>
      <c r="AP87" s="217"/>
      <c r="AQ87" s="217"/>
      <c r="AR87" s="217"/>
      <c r="AS87" s="217"/>
      <c r="AT87" s="217"/>
      <c r="AU87" s="217"/>
    </row>
    <row r="88" spans="1:47">
      <c r="A88" s="254">
        <v>78</v>
      </c>
      <c r="B88" s="242"/>
      <c r="C88" s="243"/>
      <c r="D88" s="243"/>
      <c r="E88" s="357"/>
      <c r="F88" s="217"/>
      <c r="G88" s="217"/>
      <c r="H88" s="217"/>
      <c r="I88" s="217"/>
      <c r="J88" s="217"/>
      <c r="K88" s="217"/>
      <c r="L88" s="217"/>
      <c r="M88" s="217"/>
      <c r="N88" s="217"/>
      <c r="O88" s="217"/>
      <c r="P88" s="217"/>
      <c r="Q88" s="217"/>
      <c r="R88" s="355"/>
      <c r="S88" s="217"/>
      <c r="T88" s="217"/>
      <c r="U88" s="217"/>
      <c r="V88" s="217"/>
      <c r="W88" s="217"/>
      <c r="X88" s="217"/>
      <c r="Y88" s="217"/>
      <c r="Z88" s="217"/>
      <c r="AA88" s="217"/>
      <c r="AB88" s="217"/>
      <c r="AC88" s="217"/>
      <c r="AD88" s="217"/>
      <c r="AE88" s="217"/>
      <c r="AF88" s="217"/>
      <c r="AG88" s="355"/>
      <c r="AH88" s="217"/>
      <c r="AI88" s="217"/>
      <c r="AJ88" s="217"/>
      <c r="AK88" s="217"/>
      <c r="AL88" s="217"/>
      <c r="AM88" s="217"/>
      <c r="AN88" s="217"/>
      <c r="AO88" s="217"/>
      <c r="AP88" s="217"/>
      <c r="AQ88" s="217"/>
      <c r="AR88" s="217"/>
      <c r="AS88" s="217"/>
      <c r="AT88" s="217"/>
      <c r="AU88" s="217"/>
    </row>
    <row r="89" spans="1:47">
      <c r="A89" s="254">
        <v>79</v>
      </c>
      <c r="B89" s="242"/>
      <c r="C89" s="243"/>
      <c r="D89" s="243"/>
      <c r="E89" s="357"/>
      <c r="F89" s="217"/>
      <c r="G89" s="217"/>
      <c r="H89" s="217"/>
      <c r="I89" s="217"/>
      <c r="J89" s="217"/>
      <c r="K89" s="217"/>
      <c r="L89" s="217"/>
      <c r="M89" s="217"/>
      <c r="N89" s="217"/>
      <c r="O89" s="217"/>
      <c r="P89" s="217"/>
      <c r="Q89" s="217"/>
      <c r="R89" s="355"/>
      <c r="S89" s="217"/>
      <c r="T89" s="217"/>
      <c r="U89" s="217"/>
      <c r="V89" s="217"/>
      <c r="W89" s="217"/>
      <c r="X89" s="217"/>
      <c r="Y89" s="217"/>
      <c r="Z89" s="217"/>
      <c r="AA89" s="217"/>
      <c r="AB89" s="217"/>
      <c r="AC89" s="217"/>
      <c r="AD89" s="217"/>
      <c r="AE89" s="217"/>
      <c r="AF89" s="217"/>
      <c r="AG89" s="355"/>
      <c r="AH89" s="217"/>
      <c r="AI89" s="217"/>
      <c r="AJ89" s="217"/>
      <c r="AK89" s="217"/>
      <c r="AL89" s="217"/>
      <c r="AM89" s="217"/>
      <c r="AN89" s="217"/>
      <c r="AO89" s="217"/>
      <c r="AP89" s="217"/>
      <c r="AQ89" s="217"/>
      <c r="AR89" s="217"/>
      <c r="AS89" s="217"/>
      <c r="AT89" s="217"/>
      <c r="AU89" s="217"/>
    </row>
    <row r="90" spans="1:47">
      <c r="A90" s="254">
        <v>80</v>
      </c>
      <c r="B90" s="242"/>
      <c r="C90" s="243"/>
      <c r="D90" s="243"/>
      <c r="E90" s="357"/>
      <c r="F90" s="217"/>
      <c r="G90" s="217"/>
      <c r="H90" s="217"/>
      <c r="I90" s="217"/>
      <c r="J90" s="217"/>
      <c r="K90" s="217"/>
      <c r="L90" s="217"/>
      <c r="M90" s="217"/>
      <c r="N90" s="217"/>
      <c r="O90" s="217"/>
      <c r="P90" s="217"/>
      <c r="Q90" s="217"/>
      <c r="R90" s="355"/>
      <c r="S90" s="217"/>
      <c r="T90" s="217"/>
      <c r="U90" s="217"/>
      <c r="V90" s="217"/>
      <c r="W90" s="217"/>
      <c r="X90" s="217"/>
      <c r="Y90" s="217"/>
      <c r="Z90" s="217"/>
      <c r="AA90" s="217"/>
      <c r="AB90" s="217"/>
      <c r="AC90" s="217"/>
      <c r="AD90" s="217"/>
      <c r="AE90" s="217"/>
      <c r="AF90" s="217"/>
      <c r="AG90" s="355"/>
      <c r="AH90" s="217"/>
      <c r="AI90" s="217"/>
      <c r="AJ90" s="217"/>
      <c r="AK90" s="217"/>
      <c r="AL90" s="217"/>
      <c r="AM90" s="217"/>
      <c r="AN90" s="217"/>
      <c r="AO90" s="217"/>
      <c r="AP90" s="217"/>
      <c r="AQ90" s="217"/>
      <c r="AR90" s="217"/>
      <c r="AS90" s="217"/>
      <c r="AT90" s="217"/>
      <c r="AU90" s="217"/>
    </row>
    <row r="91" spans="1:47">
      <c r="A91" s="254">
        <v>81</v>
      </c>
      <c r="B91" s="242"/>
      <c r="C91" s="243"/>
      <c r="D91" s="243"/>
      <c r="E91" s="357"/>
      <c r="F91" s="217"/>
      <c r="G91" s="217"/>
      <c r="H91" s="217"/>
      <c r="I91" s="217"/>
      <c r="J91" s="217"/>
      <c r="K91" s="217"/>
      <c r="L91" s="217"/>
      <c r="M91" s="217"/>
      <c r="N91" s="217"/>
      <c r="O91" s="217"/>
      <c r="P91" s="217"/>
      <c r="Q91" s="217"/>
      <c r="R91" s="355"/>
      <c r="S91" s="217"/>
      <c r="T91" s="217"/>
      <c r="U91" s="217"/>
      <c r="V91" s="217"/>
      <c r="W91" s="217"/>
      <c r="X91" s="217"/>
      <c r="Y91" s="217"/>
      <c r="Z91" s="217"/>
      <c r="AA91" s="217"/>
      <c r="AB91" s="217"/>
      <c r="AC91" s="217"/>
      <c r="AD91" s="217"/>
      <c r="AE91" s="217"/>
      <c r="AF91" s="217"/>
      <c r="AG91" s="355"/>
      <c r="AH91" s="217"/>
      <c r="AI91" s="217"/>
      <c r="AJ91" s="217"/>
      <c r="AK91" s="217"/>
      <c r="AL91" s="217"/>
      <c r="AM91" s="217"/>
      <c r="AN91" s="217"/>
      <c r="AO91" s="217"/>
      <c r="AP91" s="217"/>
      <c r="AQ91" s="217"/>
      <c r="AR91" s="217"/>
      <c r="AS91" s="217"/>
      <c r="AT91" s="217"/>
      <c r="AU91" s="217"/>
    </row>
    <row r="92" spans="1:47">
      <c r="A92" s="254">
        <v>82</v>
      </c>
      <c r="B92" s="242"/>
      <c r="C92" s="243"/>
      <c r="D92" s="243"/>
      <c r="E92" s="357"/>
      <c r="F92" s="217"/>
      <c r="G92" s="217"/>
      <c r="H92" s="217"/>
      <c r="I92" s="217"/>
      <c r="J92" s="217"/>
      <c r="K92" s="217"/>
      <c r="L92" s="217"/>
      <c r="M92" s="217"/>
      <c r="N92" s="217"/>
      <c r="O92" s="217"/>
      <c r="P92" s="217"/>
      <c r="Q92" s="217"/>
      <c r="R92" s="355"/>
      <c r="S92" s="217"/>
      <c r="T92" s="217"/>
      <c r="U92" s="217"/>
      <c r="V92" s="217"/>
      <c r="W92" s="217"/>
      <c r="X92" s="217"/>
      <c r="Y92" s="217"/>
      <c r="Z92" s="217"/>
      <c r="AA92" s="217"/>
      <c r="AB92" s="217"/>
      <c r="AC92" s="217"/>
      <c r="AD92" s="217"/>
      <c r="AE92" s="217"/>
      <c r="AF92" s="217"/>
      <c r="AG92" s="355"/>
      <c r="AH92" s="217"/>
      <c r="AI92" s="217"/>
      <c r="AJ92" s="217"/>
      <c r="AK92" s="217"/>
      <c r="AL92" s="217"/>
      <c r="AM92" s="217"/>
      <c r="AN92" s="217"/>
      <c r="AO92" s="217"/>
      <c r="AP92" s="217"/>
      <c r="AQ92" s="217"/>
      <c r="AR92" s="217"/>
      <c r="AS92" s="217"/>
      <c r="AT92" s="217"/>
      <c r="AU92" s="217"/>
    </row>
    <row r="93" spans="1:47">
      <c r="A93" s="254">
        <v>83</v>
      </c>
      <c r="B93" s="242"/>
      <c r="C93" s="243"/>
      <c r="D93" s="243"/>
      <c r="E93" s="357"/>
      <c r="F93" s="217"/>
      <c r="G93" s="217"/>
      <c r="H93" s="217"/>
      <c r="I93" s="217"/>
      <c r="J93" s="217"/>
      <c r="K93" s="217"/>
      <c r="L93" s="217"/>
      <c r="M93" s="217"/>
      <c r="N93" s="217"/>
      <c r="O93" s="217"/>
      <c r="P93" s="217"/>
      <c r="Q93" s="217"/>
      <c r="R93" s="355"/>
      <c r="S93" s="217"/>
      <c r="T93" s="217"/>
      <c r="U93" s="217"/>
      <c r="V93" s="217"/>
      <c r="W93" s="217"/>
      <c r="X93" s="217"/>
      <c r="Y93" s="217"/>
      <c r="Z93" s="217"/>
      <c r="AA93" s="217"/>
      <c r="AB93" s="217"/>
      <c r="AC93" s="217"/>
      <c r="AD93" s="217"/>
      <c r="AE93" s="217"/>
      <c r="AF93" s="217"/>
      <c r="AG93" s="355"/>
      <c r="AH93" s="217"/>
      <c r="AI93" s="217"/>
      <c r="AJ93" s="217"/>
      <c r="AK93" s="217"/>
      <c r="AL93" s="217"/>
      <c r="AM93" s="217"/>
      <c r="AN93" s="217"/>
      <c r="AO93" s="217"/>
      <c r="AP93" s="217"/>
      <c r="AQ93" s="217"/>
      <c r="AR93" s="217"/>
      <c r="AS93" s="217"/>
      <c r="AT93" s="217"/>
      <c r="AU93" s="217"/>
    </row>
    <row r="94" spans="1:47">
      <c r="A94" s="254">
        <v>84</v>
      </c>
      <c r="B94" s="242"/>
      <c r="C94" s="243"/>
      <c r="D94" s="243"/>
      <c r="E94" s="357"/>
      <c r="F94" s="217"/>
      <c r="G94" s="217"/>
      <c r="H94" s="217"/>
      <c r="I94" s="217"/>
      <c r="J94" s="217"/>
      <c r="K94" s="217"/>
      <c r="L94" s="217"/>
      <c r="M94" s="217"/>
      <c r="N94" s="217"/>
      <c r="O94" s="217"/>
      <c r="P94" s="217"/>
      <c r="Q94" s="217"/>
      <c r="R94" s="355"/>
      <c r="S94" s="217"/>
      <c r="T94" s="217"/>
      <c r="U94" s="217"/>
      <c r="V94" s="217"/>
      <c r="W94" s="217"/>
      <c r="X94" s="217"/>
      <c r="Y94" s="217"/>
      <c r="Z94" s="217"/>
      <c r="AA94" s="217"/>
      <c r="AB94" s="217"/>
      <c r="AC94" s="217"/>
      <c r="AD94" s="217"/>
      <c r="AE94" s="217"/>
      <c r="AF94" s="217"/>
      <c r="AG94" s="355"/>
      <c r="AH94" s="217"/>
      <c r="AI94" s="217"/>
      <c r="AJ94" s="217"/>
      <c r="AK94" s="217"/>
      <c r="AL94" s="217"/>
      <c r="AM94" s="217"/>
      <c r="AN94" s="217"/>
      <c r="AO94" s="217"/>
      <c r="AP94" s="217"/>
      <c r="AQ94" s="217"/>
      <c r="AR94" s="217"/>
      <c r="AS94" s="217"/>
      <c r="AT94" s="217"/>
      <c r="AU94" s="217"/>
    </row>
    <row r="95" spans="1:47">
      <c r="A95" s="254">
        <v>85</v>
      </c>
      <c r="B95" s="242"/>
      <c r="C95" s="243"/>
      <c r="D95" s="243"/>
      <c r="E95" s="357"/>
      <c r="F95" s="217"/>
      <c r="G95" s="217"/>
      <c r="H95" s="217"/>
      <c r="I95" s="217"/>
      <c r="J95" s="217"/>
      <c r="K95" s="217"/>
      <c r="L95" s="217"/>
      <c r="M95" s="217"/>
      <c r="N95" s="217"/>
      <c r="O95" s="217"/>
      <c r="P95" s="217"/>
      <c r="Q95" s="217"/>
      <c r="R95" s="355"/>
      <c r="S95" s="217"/>
      <c r="T95" s="217"/>
      <c r="U95" s="217"/>
      <c r="V95" s="217"/>
      <c r="W95" s="217"/>
      <c r="X95" s="217"/>
      <c r="Y95" s="217"/>
      <c r="Z95" s="217"/>
      <c r="AA95" s="217"/>
      <c r="AB95" s="217"/>
      <c r="AC95" s="217"/>
      <c r="AD95" s="217"/>
      <c r="AE95" s="217"/>
      <c r="AF95" s="217"/>
      <c r="AG95" s="355"/>
      <c r="AH95" s="217"/>
      <c r="AI95" s="217"/>
      <c r="AJ95" s="217"/>
      <c r="AK95" s="217"/>
      <c r="AL95" s="217"/>
      <c r="AM95" s="217"/>
      <c r="AN95" s="217"/>
      <c r="AO95" s="217"/>
      <c r="AP95" s="217"/>
      <c r="AQ95" s="217"/>
      <c r="AR95" s="217"/>
      <c r="AS95" s="217"/>
      <c r="AT95" s="217"/>
      <c r="AU95" s="217"/>
    </row>
    <row r="96" spans="1:47">
      <c r="A96" s="254">
        <v>86</v>
      </c>
      <c r="B96" s="242"/>
      <c r="C96" s="243"/>
      <c r="D96" s="243"/>
      <c r="E96" s="357"/>
      <c r="F96" s="217"/>
      <c r="G96" s="217"/>
      <c r="H96" s="217"/>
      <c r="I96" s="217"/>
      <c r="J96" s="217"/>
      <c r="K96" s="217"/>
      <c r="L96" s="217"/>
      <c r="M96" s="217"/>
      <c r="N96" s="217"/>
      <c r="O96" s="217"/>
      <c r="P96" s="217"/>
      <c r="Q96" s="217"/>
      <c r="R96" s="355"/>
      <c r="S96" s="217"/>
      <c r="T96" s="217"/>
      <c r="U96" s="217"/>
      <c r="V96" s="217"/>
      <c r="W96" s="217"/>
      <c r="X96" s="217"/>
      <c r="Y96" s="217"/>
      <c r="Z96" s="217"/>
      <c r="AA96" s="217"/>
      <c r="AB96" s="217"/>
      <c r="AC96" s="217"/>
      <c r="AD96" s="217"/>
      <c r="AE96" s="217"/>
      <c r="AF96" s="217"/>
      <c r="AG96" s="355"/>
      <c r="AH96" s="217"/>
      <c r="AI96" s="217"/>
      <c r="AJ96" s="217"/>
      <c r="AK96" s="217"/>
      <c r="AL96" s="217"/>
      <c r="AM96" s="217"/>
      <c r="AN96" s="217"/>
      <c r="AO96" s="217"/>
      <c r="AP96" s="217"/>
      <c r="AQ96" s="217"/>
      <c r="AR96" s="217"/>
      <c r="AS96" s="217"/>
      <c r="AT96" s="217"/>
      <c r="AU96" s="217"/>
    </row>
    <row r="97" spans="1:47">
      <c r="A97" s="254">
        <v>87</v>
      </c>
      <c r="B97" s="242"/>
      <c r="C97" s="243"/>
      <c r="D97" s="243"/>
      <c r="E97" s="357"/>
      <c r="F97" s="217"/>
      <c r="G97" s="217"/>
      <c r="H97" s="217"/>
      <c r="I97" s="217"/>
      <c r="J97" s="217"/>
      <c r="K97" s="217"/>
      <c r="L97" s="217"/>
      <c r="M97" s="217"/>
      <c r="N97" s="217"/>
      <c r="O97" s="217"/>
      <c r="P97" s="217"/>
      <c r="Q97" s="217"/>
      <c r="R97" s="355"/>
      <c r="S97" s="217"/>
      <c r="T97" s="217"/>
      <c r="U97" s="217"/>
      <c r="V97" s="217"/>
      <c r="W97" s="217"/>
      <c r="X97" s="217"/>
      <c r="Y97" s="217"/>
      <c r="Z97" s="217"/>
      <c r="AA97" s="217"/>
      <c r="AB97" s="217"/>
      <c r="AC97" s="217"/>
      <c r="AD97" s="217"/>
      <c r="AE97" s="217"/>
      <c r="AF97" s="217"/>
      <c r="AG97" s="355"/>
      <c r="AH97" s="217"/>
      <c r="AI97" s="217"/>
      <c r="AJ97" s="217"/>
      <c r="AK97" s="217"/>
      <c r="AL97" s="217"/>
      <c r="AM97" s="217"/>
      <c r="AN97" s="217"/>
      <c r="AO97" s="217"/>
      <c r="AP97" s="217"/>
      <c r="AQ97" s="217"/>
      <c r="AR97" s="217"/>
      <c r="AS97" s="217"/>
      <c r="AT97" s="217"/>
      <c r="AU97" s="217"/>
    </row>
    <row r="98" spans="1:47">
      <c r="A98" s="254">
        <v>88</v>
      </c>
      <c r="B98" s="242"/>
      <c r="C98" s="243"/>
      <c r="D98" s="243"/>
      <c r="E98" s="357"/>
      <c r="F98" s="217"/>
      <c r="G98" s="217"/>
      <c r="H98" s="217"/>
      <c r="I98" s="217"/>
      <c r="J98" s="217"/>
      <c r="K98" s="217"/>
      <c r="L98" s="217"/>
      <c r="M98" s="217"/>
      <c r="N98" s="217"/>
      <c r="O98" s="217"/>
      <c r="P98" s="217"/>
      <c r="Q98" s="217"/>
      <c r="R98" s="355"/>
      <c r="S98" s="217"/>
      <c r="T98" s="217"/>
      <c r="U98" s="217"/>
      <c r="V98" s="217"/>
      <c r="W98" s="217"/>
      <c r="X98" s="217"/>
      <c r="Y98" s="217"/>
      <c r="Z98" s="217"/>
      <c r="AA98" s="217"/>
      <c r="AB98" s="217"/>
      <c r="AC98" s="217"/>
      <c r="AD98" s="217"/>
      <c r="AE98" s="217"/>
      <c r="AF98" s="217"/>
      <c r="AG98" s="355"/>
      <c r="AH98" s="217"/>
      <c r="AI98" s="217"/>
      <c r="AJ98" s="217"/>
      <c r="AK98" s="217"/>
      <c r="AL98" s="217"/>
      <c r="AM98" s="217"/>
      <c r="AN98" s="217"/>
      <c r="AO98" s="217"/>
      <c r="AP98" s="217"/>
      <c r="AQ98" s="217"/>
      <c r="AR98" s="217"/>
      <c r="AS98" s="217"/>
      <c r="AT98" s="217"/>
      <c r="AU98" s="217"/>
    </row>
    <row r="99" spans="1:47">
      <c r="A99" s="254">
        <v>89</v>
      </c>
      <c r="B99" s="242"/>
      <c r="C99" s="243"/>
      <c r="D99" s="243"/>
      <c r="E99" s="357"/>
      <c r="F99" s="217"/>
      <c r="G99" s="217"/>
      <c r="H99" s="217"/>
      <c r="I99" s="217"/>
      <c r="J99" s="217"/>
      <c r="K99" s="217"/>
      <c r="L99" s="217"/>
      <c r="M99" s="217"/>
      <c r="N99" s="217"/>
      <c r="O99" s="217"/>
      <c r="P99" s="217"/>
      <c r="Q99" s="217"/>
      <c r="R99" s="355"/>
      <c r="S99" s="217"/>
      <c r="T99" s="217"/>
      <c r="U99" s="217"/>
      <c r="V99" s="217"/>
      <c r="W99" s="217"/>
      <c r="X99" s="217"/>
      <c r="Y99" s="217"/>
      <c r="Z99" s="217"/>
      <c r="AA99" s="217"/>
      <c r="AB99" s="217"/>
      <c r="AC99" s="217"/>
      <c r="AD99" s="217"/>
      <c r="AE99" s="217"/>
      <c r="AF99" s="217"/>
      <c r="AG99" s="355"/>
      <c r="AH99" s="217"/>
      <c r="AI99" s="217"/>
      <c r="AJ99" s="217"/>
      <c r="AK99" s="217"/>
      <c r="AL99" s="217"/>
      <c r="AM99" s="217"/>
      <c r="AN99" s="217"/>
      <c r="AO99" s="217"/>
      <c r="AP99" s="217"/>
      <c r="AQ99" s="217"/>
      <c r="AR99" s="217"/>
      <c r="AS99" s="217"/>
      <c r="AT99" s="217"/>
      <c r="AU99" s="217"/>
    </row>
    <row r="100" spans="1:47">
      <c r="A100" s="254">
        <v>90</v>
      </c>
      <c r="B100" s="242"/>
      <c r="C100" s="243"/>
      <c r="D100" s="243"/>
      <c r="E100" s="357"/>
      <c r="F100" s="217"/>
      <c r="G100" s="217"/>
      <c r="H100" s="217"/>
      <c r="I100" s="217"/>
      <c r="J100" s="217"/>
      <c r="K100" s="217"/>
      <c r="L100" s="217"/>
      <c r="M100" s="217"/>
      <c r="N100" s="217"/>
      <c r="O100" s="217"/>
      <c r="P100" s="217"/>
      <c r="Q100" s="217"/>
      <c r="R100" s="355"/>
      <c r="S100" s="217"/>
      <c r="T100" s="217"/>
      <c r="U100" s="217"/>
      <c r="V100" s="217"/>
      <c r="W100" s="217"/>
      <c r="X100" s="217"/>
      <c r="Y100" s="217"/>
      <c r="Z100" s="217"/>
      <c r="AA100" s="217"/>
      <c r="AB100" s="217"/>
      <c r="AC100" s="217"/>
      <c r="AD100" s="217"/>
      <c r="AE100" s="217"/>
      <c r="AF100" s="217"/>
      <c r="AG100" s="355"/>
      <c r="AH100" s="217"/>
      <c r="AI100" s="217"/>
      <c r="AJ100" s="217"/>
      <c r="AK100" s="217"/>
      <c r="AL100" s="217"/>
      <c r="AM100" s="217"/>
      <c r="AN100" s="217"/>
      <c r="AO100" s="217"/>
      <c r="AP100" s="217"/>
      <c r="AQ100" s="217"/>
      <c r="AR100" s="217"/>
      <c r="AS100" s="217"/>
      <c r="AT100" s="217"/>
      <c r="AU100" s="217"/>
    </row>
    <row r="101" spans="1:47">
      <c r="A101" s="254">
        <v>91</v>
      </c>
      <c r="B101" s="242"/>
      <c r="C101" s="243"/>
      <c r="D101" s="243"/>
      <c r="E101" s="357"/>
      <c r="F101" s="217"/>
      <c r="G101" s="217"/>
      <c r="H101" s="217"/>
      <c r="I101" s="217"/>
      <c r="J101" s="217"/>
      <c r="K101" s="217"/>
      <c r="L101" s="217"/>
      <c r="M101" s="217"/>
      <c r="N101" s="217"/>
      <c r="O101" s="217"/>
      <c r="P101" s="217"/>
      <c r="Q101" s="217"/>
      <c r="R101" s="355"/>
      <c r="S101" s="217"/>
      <c r="T101" s="217"/>
      <c r="U101" s="217"/>
      <c r="V101" s="217"/>
      <c r="W101" s="217"/>
      <c r="X101" s="217"/>
      <c r="Y101" s="217"/>
      <c r="Z101" s="217"/>
      <c r="AA101" s="217"/>
      <c r="AB101" s="217"/>
      <c r="AC101" s="217"/>
      <c r="AD101" s="217"/>
      <c r="AE101" s="217"/>
      <c r="AF101" s="217"/>
      <c r="AG101" s="355"/>
      <c r="AH101" s="217"/>
      <c r="AI101" s="217"/>
      <c r="AJ101" s="217"/>
      <c r="AK101" s="217"/>
      <c r="AL101" s="217"/>
      <c r="AM101" s="217"/>
      <c r="AN101" s="217"/>
      <c r="AO101" s="217"/>
      <c r="AP101" s="217"/>
      <c r="AQ101" s="217"/>
      <c r="AR101" s="217"/>
      <c r="AS101" s="217"/>
      <c r="AT101" s="217"/>
      <c r="AU101" s="217"/>
    </row>
    <row r="102" spans="1:47">
      <c r="A102" s="254">
        <v>92</v>
      </c>
      <c r="B102" s="242"/>
      <c r="C102" s="243"/>
      <c r="D102" s="243"/>
      <c r="E102" s="357"/>
      <c r="F102" s="217"/>
      <c r="G102" s="217"/>
      <c r="H102" s="217"/>
      <c r="I102" s="217"/>
      <c r="J102" s="217"/>
      <c r="K102" s="217"/>
      <c r="L102" s="217"/>
      <c r="M102" s="217"/>
      <c r="N102" s="217"/>
      <c r="O102" s="217"/>
      <c r="P102" s="217"/>
      <c r="Q102" s="217"/>
      <c r="R102" s="355"/>
      <c r="S102" s="217"/>
      <c r="T102" s="217"/>
      <c r="U102" s="217"/>
      <c r="V102" s="217"/>
      <c r="W102" s="217"/>
      <c r="X102" s="217"/>
      <c r="Y102" s="217"/>
      <c r="Z102" s="217"/>
      <c r="AA102" s="217"/>
      <c r="AB102" s="217"/>
      <c r="AC102" s="217"/>
      <c r="AD102" s="217"/>
      <c r="AE102" s="217"/>
      <c r="AF102" s="217"/>
      <c r="AG102" s="355"/>
      <c r="AH102" s="217"/>
      <c r="AI102" s="217"/>
      <c r="AJ102" s="217"/>
      <c r="AK102" s="217"/>
      <c r="AL102" s="217"/>
      <c r="AM102" s="217"/>
      <c r="AN102" s="217"/>
      <c r="AO102" s="217"/>
      <c r="AP102" s="217"/>
      <c r="AQ102" s="217"/>
      <c r="AR102" s="217"/>
      <c r="AS102" s="217"/>
      <c r="AT102" s="217"/>
      <c r="AU102" s="217"/>
    </row>
    <row r="103" spans="1:47">
      <c r="A103" s="254">
        <v>93</v>
      </c>
      <c r="B103" s="242"/>
      <c r="C103" s="243"/>
      <c r="D103" s="243"/>
      <c r="E103" s="357"/>
      <c r="F103" s="217"/>
      <c r="G103" s="217"/>
      <c r="H103" s="217"/>
      <c r="I103" s="217"/>
      <c r="J103" s="217"/>
      <c r="K103" s="217"/>
      <c r="L103" s="217"/>
      <c r="M103" s="217"/>
      <c r="N103" s="217"/>
      <c r="O103" s="217"/>
      <c r="P103" s="217"/>
      <c r="Q103" s="217"/>
      <c r="R103" s="355"/>
      <c r="S103" s="217"/>
      <c r="T103" s="217"/>
      <c r="U103" s="217"/>
      <c r="V103" s="217"/>
      <c r="W103" s="217"/>
      <c r="X103" s="217"/>
      <c r="Y103" s="217"/>
      <c r="Z103" s="217"/>
      <c r="AA103" s="217"/>
      <c r="AB103" s="217"/>
      <c r="AC103" s="217"/>
      <c r="AD103" s="217"/>
      <c r="AE103" s="217"/>
      <c r="AF103" s="217"/>
      <c r="AG103" s="355"/>
      <c r="AH103" s="217"/>
      <c r="AI103" s="217"/>
      <c r="AJ103" s="217"/>
      <c r="AK103" s="217"/>
      <c r="AL103" s="217"/>
      <c r="AM103" s="217"/>
      <c r="AN103" s="217"/>
      <c r="AO103" s="217"/>
      <c r="AP103" s="217"/>
      <c r="AQ103" s="217"/>
      <c r="AR103" s="217"/>
      <c r="AS103" s="217"/>
      <c r="AT103" s="217"/>
      <c r="AU103" s="217"/>
    </row>
    <row r="104" spans="1:47">
      <c r="A104" s="254">
        <v>94</v>
      </c>
      <c r="B104" s="242"/>
      <c r="C104" s="243"/>
      <c r="D104" s="243"/>
      <c r="E104" s="357"/>
      <c r="F104" s="217"/>
      <c r="G104" s="217"/>
      <c r="H104" s="217"/>
      <c r="I104" s="217"/>
      <c r="J104" s="217"/>
      <c r="K104" s="217"/>
      <c r="L104" s="217"/>
      <c r="M104" s="217"/>
      <c r="N104" s="217"/>
      <c r="O104" s="217"/>
      <c r="P104" s="217"/>
      <c r="Q104" s="217"/>
      <c r="R104" s="355"/>
      <c r="S104" s="217"/>
      <c r="T104" s="217"/>
      <c r="U104" s="217"/>
      <c r="V104" s="217"/>
      <c r="W104" s="217"/>
      <c r="X104" s="217"/>
      <c r="Y104" s="217"/>
      <c r="Z104" s="217"/>
      <c r="AA104" s="217"/>
      <c r="AB104" s="217"/>
      <c r="AC104" s="217"/>
      <c r="AD104" s="217"/>
      <c r="AE104" s="217"/>
      <c r="AF104" s="217"/>
      <c r="AG104" s="355"/>
      <c r="AH104" s="217"/>
      <c r="AI104" s="217"/>
      <c r="AJ104" s="217"/>
      <c r="AK104" s="217"/>
      <c r="AL104" s="217"/>
      <c r="AM104" s="217"/>
      <c r="AN104" s="217"/>
      <c r="AO104" s="217"/>
      <c r="AP104" s="217"/>
      <c r="AQ104" s="217"/>
      <c r="AR104" s="217"/>
      <c r="AS104" s="217"/>
      <c r="AT104" s="217"/>
      <c r="AU104" s="217"/>
    </row>
    <row r="105" spans="1:47">
      <c r="A105" s="254">
        <v>95</v>
      </c>
      <c r="B105" s="242"/>
      <c r="C105" s="243"/>
      <c r="D105" s="243"/>
      <c r="E105" s="357"/>
      <c r="F105" s="217"/>
      <c r="G105" s="217"/>
      <c r="H105" s="217"/>
      <c r="I105" s="217"/>
      <c r="J105" s="217"/>
      <c r="K105" s="217"/>
      <c r="L105" s="217"/>
      <c r="M105" s="217"/>
      <c r="N105" s="217"/>
      <c r="O105" s="217"/>
      <c r="P105" s="217"/>
      <c r="Q105" s="217"/>
      <c r="R105" s="355"/>
      <c r="S105" s="217"/>
      <c r="T105" s="217"/>
      <c r="U105" s="217"/>
      <c r="V105" s="217"/>
      <c r="W105" s="217"/>
      <c r="X105" s="217"/>
      <c r="Y105" s="217"/>
      <c r="Z105" s="217"/>
      <c r="AA105" s="217"/>
      <c r="AB105" s="217"/>
      <c r="AC105" s="217"/>
      <c r="AD105" s="217"/>
      <c r="AE105" s="217"/>
      <c r="AF105" s="217"/>
      <c r="AG105" s="355"/>
      <c r="AH105" s="217"/>
      <c r="AI105" s="217"/>
      <c r="AJ105" s="217"/>
      <c r="AK105" s="217"/>
      <c r="AL105" s="217"/>
      <c r="AM105" s="217"/>
      <c r="AN105" s="217"/>
      <c r="AO105" s="217"/>
      <c r="AP105" s="217"/>
      <c r="AQ105" s="217"/>
      <c r="AR105" s="217"/>
      <c r="AS105" s="217"/>
      <c r="AT105" s="217"/>
      <c r="AU105" s="217"/>
    </row>
    <row r="106" spans="1:47">
      <c r="A106" s="254">
        <v>96</v>
      </c>
      <c r="B106" s="242"/>
      <c r="C106" s="243"/>
      <c r="D106" s="243"/>
      <c r="E106" s="357"/>
      <c r="F106" s="217"/>
      <c r="G106" s="217"/>
      <c r="H106" s="217"/>
      <c r="I106" s="217"/>
      <c r="J106" s="217"/>
      <c r="K106" s="217"/>
      <c r="L106" s="217"/>
      <c r="M106" s="217"/>
      <c r="N106" s="217"/>
      <c r="O106" s="217"/>
      <c r="P106" s="217"/>
      <c r="Q106" s="217"/>
      <c r="R106" s="355"/>
      <c r="S106" s="217"/>
      <c r="T106" s="217"/>
      <c r="U106" s="217"/>
      <c r="V106" s="217"/>
      <c r="W106" s="217"/>
      <c r="X106" s="217"/>
      <c r="Y106" s="217"/>
      <c r="Z106" s="217"/>
      <c r="AA106" s="217"/>
      <c r="AB106" s="217"/>
      <c r="AC106" s="217"/>
      <c r="AD106" s="217"/>
      <c r="AE106" s="217"/>
      <c r="AF106" s="217"/>
      <c r="AG106" s="355"/>
      <c r="AH106" s="217"/>
      <c r="AI106" s="217"/>
      <c r="AJ106" s="217"/>
      <c r="AK106" s="217"/>
      <c r="AL106" s="217"/>
      <c r="AM106" s="217"/>
      <c r="AN106" s="217"/>
      <c r="AO106" s="217"/>
      <c r="AP106" s="217"/>
      <c r="AQ106" s="217"/>
      <c r="AR106" s="217"/>
      <c r="AS106" s="217"/>
      <c r="AT106" s="217"/>
      <c r="AU106" s="217"/>
    </row>
    <row r="107" spans="1:47">
      <c r="A107" s="254">
        <v>97</v>
      </c>
      <c r="B107" s="242"/>
      <c r="C107" s="243"/>
      <c r="D107" s="243"/>
      <c r="E107" s="357"/>
      <c r="F107" s="217"/>
      <c r="G107" s="217"/>
      <c r="H107" s="217"/>
      <c r="I107" s="217"/>
      <c r="J107" s="217"/>
      <c r="K107" s="217"/>
      <c r="L107" s="217"/>
      <c r="M107" s="217"/>
      <c r="N107" s="217"/>
      <c r="O107" s="217"/>
      <c r="P107" s="217"/>
      <c r="Q107" s="217"/>
      <c r="R107" s="355"/>
      <c r="S107" s="217"/>
      <c r="T107" s="217"/>
      <c r="U107" s="217"/>
      <c r="V107" s="217"/>
      <c r="W107" s="217"/>
      <c r="X107" s="217"/>
      <c r="Y107" s="217"/>
      <c r="Z107" s="217"/>
      <c r="AA107" s="217"/>
      <c r="AB107" s="217"/>
      <c r="AC107" s="217"/>
      <c r="AD107" s="217"/>
      <c r="AE107" s="217"/>
      <c r="AF107" s="217"/>
      <c r="AG107" s="355"/>
      <c r="AH107" s="217"/>
      <c r="AI107" s="217"/>
      <c r="AJ107" s="217"/>
      <c r="AK107" s="217"/>
      <c r="AL107" s="217"/>
      <c r="AM107" s="217"/>
      <c r="AN107" s="217"/>
      <c r="AO107" s="217"/>
      <c r="AP107" s="217"/>
      <c r="AQ107" s="217"/>
      <c r="AR107" s="217"/>
      <c r="AS107" s="217"/>
      <c r="AT107" s="217"/>
      <c r="AU107" s="217"/>
    </row>
    <row r="108" spans="1:47">
      <c r="A108" s="254">
        <v>98</v>
      </c>
      <c r="B108" s="242"/>
      <c r="C108" s="243"/>
      <c r="D108" s="243"/>
      <c r="E108" s="357"/>
      <c r="F108" s="217"/>
      <c r="G108" s="217"/>
      <c r="H108" s="217"/>
      <c r="I108" s="217"/>
      <c r="J108" s="217"/>
      <c r="K108" s="217"/>
      <c r="L108" s="217"/>
      <c r="M108" s="217"/>
      <c r="N108" s="217"/>
      <c r="O108" s="217"/>
      <c r="P108" s="217"/>
      <c r="Q108" s="217"/>
      <c r="R108" s="355"/>
      <c r="S108" s="217"/>
      <c r="T108" s="217"/>
      <c r="U108" s="217"/>
      <c r="V108" s="217"/>
      <c r="W108" s="217"/>
      <c r="X108" s="217"/>
      <c r="Y108" s="217"/>
      <c r="Z108" s="217"/>
      <c r="AA108" s="217"/>
      <c r="AB108" s="217"/>
      <c r="AC108" s="217"/>
      <c r="AD108" s="217"/>
      <c r="AE108" s="217"/>
      <c r="AF108" s="217"/>
      <c r="AG108" s="355"/>
      <c r="AH108" s="217"/>
      <c r="AI108" s="217"/>
      <c r="AJ108" s="217"/>
      <c r="AK108" s="217"/>
      <c r="AL108" s="217"/>
      <c r="AM108" s="217"/>
      <c r="AN108" s="217"/>
      <c r="AO108" s="217"/>
      <c r="AP108" s="217"/>
      <c r="AQ108" s="217"/>
      <c r="AR108" s="217"/>
      <c r="AS108" s="217"/>
      <c r="AT108" s="217"/>
      <c r="AU108" s="217"/>
    </row>
    <row r="109" spans="1:47">
      <c r="A109" s="254">
        <v>99</v>
      </c>
      <c r="B109" s="242"/>
      <c r="C109" s="243"/>
      <c r="D109" s="243"/>
      <c r="E109" s="357"/>
      <c r="F109" s="217"/>
      <c r="G109" s="217"/>
      <c r="H109" s="217"/>
      <c r="I109" s="217"/>
      <c r="J109" s="217"/>
      <c r="K109" s="217"/>
      <c r="L109" s="217"/>
      <c r="M109" s="217"/>
      <c r="N109" s="217"/>
      <c r="O109" s="217"/>
      <c r="P109" s="217"/>
      <c r="Q109" s="217"/>
      <c r="R109" s="355"/>
      <c r="S109" s="217"/>
      <c r="T109" s="217"/>
      <c r="U109" s="217"/>
      <c r="V109" s="217"/>
      <c r="W109" s="217"/>
      <c r="X109" s="217"/>
      <c r="Y109" s="217"/>
      <c r="Z109" s="217"/>
      <c r="AA109" s="217"/>
      <c r="AB109" s="217"/>
      <c r="AC109" s="217"/>
      <c r="AD109" s="217"/>
      <c r="AE109" s="217"/>
      <c r="AF109" s="217"/>
      <c r="AG109" s="355"/>
      <c r="AH109" s="217"/>
      <c r="AI109" s="217"/>
      <c r="AJ109" s="217"/>
      <c r="AK109" s="217"/>
      <c r="AL109" s="217"/>
      <c r="AM109" s="217"/>
      <c r="AN109" s="217"/>
      <c r="AO109" s="217"/>
      <c r="AP109" s="217"/>
      <c r="AQ109" s="217"/>
      <c r="AR109" s="217"/>
      <c r="AS109" s="217"/>
      <c r="AT109" s="217"/>
      <c r="AU109" s="217"/>
    </row>
    <row r="110" spans="1:47">
      <c r="A110" s="358">
        <v>100</v>
      </c>
      <c r="B110" s="359"/>
      <c r="C110" s="360"/>
      <c r="D110" s="360"/>
      <c r="E110" s="361"/>
      <c r="F110" s="217"/>
      <c r="G110" s="217"/>
      <c r="H110" s="217"/>
      <c r="I110" s="217"/>
      <c r="J110" s="217"/>
      <c r="K110" s="217"/>
      <c r="L110" s="217"/>
      <c r="M110" s="217"/>
      <c r="N110" s="217"/>
      <c r="O110" s="217"/>
      <c r="P110" s="217"/>
      <c r="Q110" s="217"/>
      <c r="R110" s="355"/>
      <c r="S110" s="217"/>
      <c r="T110" s="217"/>
      <c r="U110" s="217"/>
      <c r="V110" s="217"/>
      <c r="W110" s="217"/>
      <c r="X110" s="217"/>
      <c r="Y110" s="217"/>
      <c r="Z110" s="217"/>
      <c r="AA110" s="217"/>
      <c r="AB110" s="217"/>
      <c r="AC110" s="217"/>
      <c r="AD110" s="217"/>
      <c r="AE110" s="217"/>
      <c r="AF110" s="217"/>
      <c r="AG110" s="355"/>
      <c r="AH110" s="217"/>
      <c r="AI110" s="217"/>
      <c r="AJ110" s="217"/>
      <c r="AK110" s="217"/>
      <c r="AL110" s="217"/>
      <c r="AM110" s="217"/>
      <c r="AN110" s="217"/>
      <c r="AO110" s="217"/>
      <c r="AP110" s="217"/>
      <c r="AQ110" s="217"/>
      <c r="AR110" s="217"/>
      <c r="AS110" s="217"/>
      <c r="AT110" s="217"/>
      <c r="AU110" s="217"/>
    </row>
    <row r="111" spans="1:47">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row>
  </sheetData>
  <mergeCells count="7">
    <mergeCell ref="S9:AE9"/>
    <mergeCell ref="AH9:AT9"/>
    <mergeCell ref="B3:D3"/>
    <mergeCell ref="B4:D4"/>
    <mergeCell ref="B5:D5"/>
    <mergeCell ref="G6:I6"/>
    <mergeCell ref="M9:P9"/>
  </mergeCells>
  <phoneticPr fontId="3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G112"/>
  <sheetViews>
    <sheetView workbookViewId="0">
      <selection activeCell="Q66" sqref="Q66"/>
    </sheetView>
  </sheetViews>
  <sheetFormatPr defaultRowHeight="12.5"/>
  <cols>
    <col min="1" max="1" width="12.453125" customWidth="1"/>
    <col min="2"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59" ht="18">
      <c r="A1" s="34" t="s">
        <v>147</v>
      </c>
      <c r="B1" s="6"/>
      <c r="C1" s="4"/>
      <c r="D1" s="6"/>
      <c r="E1" s="6"/>
      <c r="F1" s="6"/>
      <c r="G1" s="6"/>
      <c r="H1" s="6"/>
      <c r="I1" s="6"/>
      <c r="J1" s="222"/>
      <c r="K1" s="222"/>
    </row>
    <row r="2" spans="1:59" ht="16" thickBot="1">
      <c r="A2" s="350" t="s">
        <v>146</v>
      </c>
      <c r="B2" s="6"/>
      <c r="C2" s="11"/>
      <c r="D2" s="6"/>
      <c r="E2" s="6"/>
      <c r="F2" s="6"/>
      <c r="G2" s="6"/>
      <c r="H2" s="6"/>
      <c r="I2" s="6"/>
      <c r="J2" s="222"/>
      <c r="K2" s="222"/>
    </row>
    <row r="3" spans="1:59" ht="16" thickBot="1">
      <c r="A3" s="346" t="s">
        <v>135</v>
      </c>
      <c r="B3" s="389" t="str">
        <f>'START HERE'!F6</f>
        <v>Korea</v>
      </c>
      <c r="C3" s="401"/>
      <c r="D3" s="390"/>
      <c r="E3" s="222"/>
      <c r="F3" s="31" t="s">
        <v>45</v>
      </c>
      <c r="G3" s="196" t="s">
        <v>96</v>
      </c>
      <c r="H3" s="199"/>
      <c r="I3" s="197"/>
      <c r="J3" s="222"/>
      <c r="K3" s="222"/>
    </row>
    <row r="4" spans="1:59" ht="15.5">
      <c r="A4" s="12" t="s">
        <v>22</v>
      </c>
      <c r="B4" s="389" t="str">
        <f>'START HERE'!F5</f>
        <v>Jack mackerel</v>
      </c>
      <c r="C4" s="401"/>
      <c r="D4" s="390"/>
      <c r="E4" s="222"/>
      <c r="F4" s="13"/>
      <c r="G4" s="216"/>
      <c r="H4" s="200"/>
      <c r="I4" s="84"/>
      <c r="J4" s="222"/>
      <c r="K4" s="222"/>
    </row>
    <row r="5" spans="1:59" ht="18">
      <c r="A5" s="12" t="s">
        <v>15</v>
      </c>
      <c r="B5" s="395">
        <f>'START HERE'!K3</f>
        <v>2018</v>
      </c>
      <c r="C5" s="402"/>
      <c r="D5" s="396"/>
      <c r="E5" s="222"/>
      <c r="F5" s="35" t="s">
        <v>46</v>
      </c>
      <c r="G5" s="85" t="s">
        <v>148</v>
      </c>
      <c r="H5" s="198"/>
      <c r="I5" s="86"/>
      <c r="J5" s="222"/>
      <c r="K5" s="222"/>
    </row>
    <row r="6" spans="1:59" ht="16" thickBot="1">
      <c r="A6" s="12"/>
      <c r="B6" s="81"/>
      <c r="C6" s="82"/>
      <c r="D6" s="6"/>
      <c r="F6" s="35" t="s">
        <v>16</v>
      </c>
      <c r="G6" s="384">
        <f>'START HERE'!$F8</f>
        <v>42252</v>
      </c>
      <c r="H6" s="385"/>
      <c r="I6" s="391"/>
      <c r="J6" s="222"/>
      <c r="K6" s="222"/>
    </row>
    <row r="7" spans="1:59">
      <c r="A7" s="6"/>
      <c r="B7" s="6"/>
      <c r="C7" s="6"/>
      <c r="D7" s="6"/>
      <c r="E7" s="6"/>
      <c r="F7" s="6"/>
      <c r="G7" s="6"/>
      <c r="H7" s="6"/>
      <c r="I7" s="6"/>
      <c r="J7" s="222"/>
      <c r="K7" s="222"/>
    </row>
    <row r="8" spans="1:59" ht="13" thickBot="1">
      <c r="A8" s="6"/>
      <c r="B8" s="6"/>
      <c r="C8" s="6"/>
      <c r="D8" s="6"/>
      <c r="E8" s="6"/>
      <c r="F8" s="6"/>
      <c r="G8" s="6"/>
      <c r="H8" s="6"/>
      <c r="I8" s="6"/>
      <c r="J8" s="222"/>
      <c r="K8" s="222"/>
    </row>
    <row r="9" spans="1:59" ht="15.5">
      <c r="A9" s="250"/>
      <c r="B9" s="406" t="s">
        <v>61</v>
      </c>
      <c r="C9" s="406"/>
      <c r="D9" s="406"/>
      <c r="E9" s="406"/>
      <c r="F9" s="406"/>
      <c r="G9" s="406"/>
      <c r="H9" s="406"/>
      <c r="I9" s="406"/>
      <c r="J9" s="406"/>
      <c r="K9" s="406"/>
      <c r="L9" s="406"/>
      <c r="M9" s="406"/>
      <c r="N9" s="407"/>
      <c r="P9" s="250"/>
      <c r="Q9" s="406" t="s">
        <v>37</v>
      </c>
      <c r="R9" s="406"/>
      <c r="S9" s="406"/>
      <c r="T9" s="406"/>
      <c r="U9" s="406"/>
      <c r="V9" s="406"/>
      <c r="W9" s="406"/>
      <c r="X9" s="406"/>
      <c r="Y9" s="406"/>
      <c r="Z9" s="406"/>
      <c r="AA9" s="406"/>
      <c r="AB9" s="406"/>
      <c r="AC9" s="407"/>
      <c r="AE9" s="250"/>
      <c r="AF9" s="406" t="s">
        <v>38</v>
      </c>
      <c r="AG9" s="406"/>
      <c r="AH9" s="406"/>
      <c r="AI9" s="406"/>
      <c r="AJ9" s="406"/>
      <c r="AK9" s="406"/>
      <c r="AL9" s="406"/>
      <c r="AM9" s="406"/>
      <c r="AN9" s="406"/>
      <c r="AO9" s="406"/>
      <c r="AP9" s="406"/>
      <c r="AQ9" s="406"/>
      <c r="AR9" s="407"/>
      <c r="AT9" s="250"/>
      <c r="AU9" s="406" t="s">
        <v>39</v>
      </c>
      <c r="AV9" s="406"/>
      <c r="AW9" s="406"/>
      <c r="AX9" s="406"/>
      <c r="AY9" s="406"/>
      <c r="AZ9" s="406"/>
      <c r="BA9" s="406"/>
      <c r="BB9" s="406"/>
      <c r="BC9" s="406"/>
      <c r="BD9" s="406"/>
      <c r="BE9" s="406"/>
      <c r="BF9" s="406"/>
      <c r="BG9" s="407"/>
    </row>
    <row r="10" spans="1:59" ht="13">
      <c r="A10" s="251" t="s">
        <v>92</v>
      </c>
      <c r="B10" s="403" t="s">
        <v>90</v>
      </c>
      <c r="C10" s="404"/>
      <c r="D10" s="404"/>
      <c r="E10" s="404"/>
      <c r="F10" s="404"/>
      <c r="G10" s="404"/>
      <c r="H10" s="404"/>
      <c r="I10" s="404"/>
      <c r="J10" s="404"/>
      <c r="K10" s="404"/>
      <c r="L10" s="404"/>
      <c r="M10" s="404"/>
      <c r="N10" s="405"/>
      <c r="P10" s="251" t="s">
        <v>92</v>
      </c>
      <c r="Q10" s="403" t="s">
        <v>90</v>
      </c>
      <c r="R10" s="404"/>
      <c r="S10" s="404"/>
      <c r="T10" s="404"/>
      <c r="U10" s="404"/>
      <c r="V10" s="404"/>
      <c r="W10" s="404"/>
      <c r="X10" s="404"/>
      <c r="Y10" s="404"/>
      <c r="Z10" s="404"/>
      <c r="AA10" s="404"/>
      <c r="AB10" s="404"/>
      <c r="AC10" s="405"/>
      <c r="AE10" s="251" t="s">
        <v>92</v>
      </c>
      <c r="AF10" s="403" t="s">
        <v>90</v>
      </c>
      <c r="AG10" s="404"/>
      <c r="AH10" s="404"/>
      <c r="AI10" s="404"/>
      <c r="AJ10" s="404"/>
      <c r="AK10" s="404"/>
      <c r="AL10" s="404"/>
      <c r="AM10" s="404"/>
      <c r="AN10" s="404"/>
      <c r="AO10" s="404"/>
      <c r="AP10" s="404"/>
      <c r="AQ10" s="404"/>
      <c r="AR10" s="405"/>
      <c r="AT10" s="251" t="s">
        <v>92</v>
      </c>
      <c r="AU10" s="403" t="s">
        <v>90</v>
      </c>
      <c r="AV10" s="404"/>
      <c r="AW10" s="404"/>
      <c r="AX10" s="404"/>
      <c r="AY10" s="404"/>
      <c r="AZ10" s="404"/>
      <c r="BA10" s="404"/>
      <c r="BB10" s="404"/>
      <c r="BC10" s="404"/>
      <c r="BD10" s="404"/>
      <c r="BE10" s="404"/>
      <c r="BF10" s="404"/>
      <c r="BG10" s="405"/>
    </row>
    <row r="11" spans="1:59" ht="13">
      <c r="A11" s="252" t="s">
        <v>49</v>
      </c>
      <c r="B11" s="246">
        <v>0</v>
      </c>
      <c r="C11" s="247">
        <v>1</v>
      </c>
      <c r="D11" s="247">
        <v>2</v>
      </c>
      <c r="E11" s="247">
        <v>3</v>
      </c>
      <c r="F11" s="247">
        <v>4</v>
      </c>
      <c r="G11" s="247">
        <v>5</v>
      </c>
      <c r="H11" s="247">
        <v>6</v>
      </c>
      <c r="I11" s="247">
        <v>7</v>
      </c>
      <c r="J11" s="247">
        <v>8</v>
      </c>
      <c r="K11" s="247">
        <v>9</v>
      </c>
      <c r="L11" s="247">
        <v>10</v>
      </c>
      <c r="M11" s="247">
        <v>11</v>
      </c>
      <c r="N11" s="253">
        <v>12</v>
      </c>
      <c r="P11" s="252" t="s">
        <v>49</v>
      </c>
      <c r="Q11" s="246">
        <v>0</v>
      </c>
      <c r="R11" s="247">
        <v>1</v>
      </c>
      <c r="S11" s="247">
        <v>2</v>
      </c>
      <c r="T11" s="247">
        <v>3</v>
      </c>
      <c r="U11" s="247">
        <v>4</v>
      </c>
      <c r="V11" s="247">
        <v>5</v>
      </c>
      <c r="W11" s="247">
        <v>6</v>
      </c>
      <c r="X11" s="247">
        <v>7</v>
      </c>
      <c r="Y11" s="247">
        <v>8</v>
      </c>
      <c r="Z11" s="247">
        <v>9</v>
      </c>
      <c r="AA11" s="247">
        <v>10</v>
      </c>
      <c r="AB11" s="247">
        <v>11</v>
      </c>
      <c r="AC11" s="253">
        <v>12</v>
      </c>
      <c r="AE11" s="252" t="s">
        <v>49</v>
      </c>
      <c r="AF11" s="246">
        <v>0</v>
      </c>
      <c r="AG11" s="247">
        <v>1</v>
      </c>
      <c r="AH11" s="247">
        <v>2</v>
      </c>
      <c r="AI11" s="247">
        <v>3</v>
      </c>
      <c r="AJ11" s="247">
        <v>4</v>
      </c>
      <c r="AK11" s="247">
        <v>5</v>
      </c>
      <c r="AL11" s="247">
        <v>6</v>
      </c>
      <c r="AM11" s="247">
        <v>7</v>
      </c>
      <c r="AN11" s="247">
        <v>8</v>
      </c>
      <c r="AO11" s="247">
        <v>9</v>
      </c>
      <c r="AP11" s="247">
        <v>10</v>
      </c>
      <c r="AQ11" s="247">
        <v>11</v>
      </c>
      <c r="AR11" s="253">
        <v>12</v>
      </c>
      <c r="AT11" s="252" t="s">
        <v>49</v>
      </c>
      <c r="AU11" s="246">
        <v>0</v>
      </c>
      <c r="AV11" s="247">
        <v>1</v>
      </c>
      <c r="AW11" s="247">
        <v>2</v>
      </c>
      <c r="AX11" s="247">
        <v>3</v>
      </c>
      <c r="AY11" s="247">
        <v>4</v>
      </c>
      <c r="AZ11" s="247">
        <v>5</v>
      </c>
      <c r="BA11" s="247">
        <v>6</v>
      </c>
      <c r="BB11" s="247">
        <v>7</v>
      </c>
      <c r="BC11" s="247">
        <v>8</v>
      </c>
      <c r="BD11" s="247">
        <v>9</v>
      </c>
      <c r="BE11" s="247">
        <v>10</v>
      </c>
      <c r="BF11" s="247">
        <v>11</v>
      </c>
      <c r="BG11" s="253">
        <v>12</v>
      </c>
    </row>
    <row r="12" spans="1:59">
      <c r="A12" s="254">
        <v>1</v>
      </c>
      <c r="B12" s="244"/>
      <c r="C12" s="245"/>
      <c r="D12" s="245"/>
      <c r="E12" s="245"/>
      <c r="F12" s="245"/>
      <c r="G12" s="245"/>
      <c r="H12" s="245"/>
      <c r="I12" s="245"/>
      <c r="J12" s="245"/>
      <c r="K12" s="245"/>
      <c r="L12" s="245"/>
      <c r="M12" s="245"/>
      <c r="N12" s="255"/>
      <c r="P12" s="254">
        <v>1</v>
      </c>
      <c r="Q12" s="244"/>
      <c r="R12" s="245"/>
      <c r="S12" s="245"/>
      <c r="T12" s="245"/>
      <c r="U12" s="245"/>
      <c r="V12" s="245"/>
      <c r="W12" s="245"/>
      <c r="X12" s="245"/>
      <c r="Y12" s="245"/>
      <c r="Z12" s="245"/>
      <c r="AA12" s="245"/>
      <c r="AB12" s="245"/>
      <c r="AC12" s="255"/>
      <c r="AE12" s="254">
        <v>1</v>
      </c>
      <c r="AF12" s="244"/>
      <c r="AG12" s="245"/>
      <c r="AH12" s="245"/>
      <c r="AI12" s="245"/>
      <c r="AJ12" s="245"/>
      <c r="AK12" s="245"/>
      <c r="AL12" s="245"/>
      <c r="AM12" s="245"/>
      <c r="AN12" s="245"/>
      <c r="AO12" s="245"/>
      <c r="AP12" s="245"/>
      <c r="AQ12" s="245"/>
      <c r="AR12" s="255"/>
      <c r="AT12" s="254">
        <v>1</v>
      </c>
      <c r="AU12" s="244"/>
      <c r="AV12" s="245"/>
      <c r="AW12" s="245"/>
      <c r="AX12" s="245"/>
      <c r="AY12" s="245"/>
      <c r="AZ12" s="245"/>
      <c r="BA12" s="245"/>
      <c r="BB12" s="245"/>
      <c r="BC12" s="245"/>
      <c r="BD12" s="245"/>
      <c r="BE12" s="245"/>
      <c r="BF12" s="245"/>
      <c r="BG12" s="255"/>
    </row>
    <row r="13" spans="1:59">
      <c r="A13" s="254">
        <v>2</v>
      </c>
      <c r="B13" s="242"/>
      <c r="C13" s="243"/>
      <c r="D13" s="243"/>
      <c r="E13" s="243"/>
      <c r="F13" s="243"/>
      <c r="G13" s="243"/>
      <c r="H13" s="243"/>
      <c r="I13" s="243"/>
      <c r="J13" s="243"/>
      <c r="K13" s="243"/>
      <c r="L13" s="243"/>
      <c r="M13" s="243"/>
      <c r="N13" s="256"/>
      <c r="P13" s="254">
        <v>2</v>
      </c>
      <c r="Q13" s="242"/>
      <c r="R13" s="243"/>
      <c r="S13" s="243"/>
      <c r="T13" s="243"/>
      <c r="U13" s="243"/>
      <c r="V13" s="243"/>
      <c r="W13" s="243"/>
      <c r="X13" s="243"/>
      <c r="Y13" s="243"/>
      <c r="Z13" s="243"/>
      <c r="AA13" s="243"/>
      <c r="AB13" s="243"/>
      <c r="AC13" s="256"/>
      <c r="AE13" s="254">
        <v>2</v>
      </c>
      <c r="AF13" s="242"/>
      <c r="AG13" s="243"/>
      <c r="AH13" s="243"/>
      <c r="AI13" s="243"/>
      <c r="AJ13" s="243"/>
      <c r="AK13" s="243"/>
      <c r="AL13" s="243"/>
      <c r="AM13" s="243"/>
      <c r="AN13" s="243"/>
      <c r="AO13" s="243"/>
      <c r="AP13" s="243"/>
      <c r="AQ13" s="243"/>
      <c r="AR13" s="256"/>
      <c r="AT13" s="254">
        <v>2</v>
      </c>
      <c r="AU13" s="242"/>
      <c r="AV13" s="243"/>
      <c r="AW13" s="243"/>
      <c r="AX13" s="243"/>
      <c r="AY13" s="243"/>
      <c r="AZ13" s="243"/>
      <c r="BA13" s="243"/>
      <c r="BB13" s="243"/>
      <c r="BC13" s="243"/>
      <c r="BD13" s="243"/>
      <c r="BE13" s="243"/>
      <c r="BF13" s="243"/>
      <c r="BG13" s="256"/>
    </row>
    <row r="14" spans="1:59">
      <c r="A14" s="254">
        <v>3</v>
      </c>
      <c r="B14" s="242"/>
      <c r="C14" s="243"/>
      <c r="D14" s="243"/>
      <c r="E14" s="243"/>
      <c r="F14" s="243"/>
      <c r="G14" s="243"/>
      <c r="H14" s="243"/>
      <c r="I14" s="243"/>
      <c r="J14" s="243"/>
      <c r="K14" s="243"/>
      <c r="L14" s="243"/>
      <c r="M14" s="243"/>
      <c r="N14" s="256"/>
      <c r="P14" s="254">
        <v>3</v>
      </c>
      <c r="Q14" s="242"/>
      <c r="R14" s="243"/>
      <c r="S14" s="243"/>
      <c r="T14" s="243"/>
      <c r="U14" s="243"/>
      <c r="V14" s="243"/>
      <c r="W14" s="243"/>
      <c r="X14" s="243"/>
      <c r="Y14" s="243"/>
      <c r="Z14" s="243"/>
      <c r="AA14" s="243"/>
      <c r="AB14" s="243"/>
      <c r="AC14" s="256"/>
      <c r="AE14" s="254">
        <v>3</v>
      </c>
      <c r="AF14" s="242"/>
      <c r="AG14" s="243"/>
      <c r="AH14" s="243"/>
      <c r="AI14" s="243"/>
      <c r="AJ14" s="243"/>
      <c r="AK14" s="243"/>
      <c r="AL14" s="243"/>
      <c r="AM14" s="243"/>
      <c r="AN14" s="243"/>
      <c r="AO14" s="243"/>
      <c r="AP14" s="243"/>
      <c r="AQ14" s="243"/>
      <c r="AR14" s="256"/>
      <c r="AT14" s="254">
        <v>3</v>
      </c>
      <c r="AU14" s="242"/>
      <c r="AV14" s="243"/>
      <c r="AW14" s="243"/>
      <c r="AX14" s="243"/>
      <c r="AY14" s="243"/>
      <c r="AZ14" s="243"/>
      <c r="BA14" s="243"/>
      <c r="BB14" s="243"/>
      <c r="BC14" s="243"/>
      <c r="BD14" s="243"/>
      <c r="BE14" s="243"/>
      <c r="BF14" s="243"/>
      <c r="BG14" s="256"/>
    </row>
    <row r="15" spans="1:59">
      <c r="A15" s="254">
        <v>4</v>
      </c>
      <c r="B15" s="242"/>
      <c r="C15" s="243"/>
      <c r="D15" s="243"/>
      <c r="E15" s="243"/>
      <c r="F15" s="243"/>
      <c r="G15" s="243"/>
      <c r="H15" s="243"/>
      <c r="I15" s="243"/>
      <c r="J15" s="243"/>
      <c r="K15" s="243"/>
      <c r="L15" s="243"/>
      <c r="M15" s="243"/>
      <c r="N15" s="256"/>
      <c r="P15" s="254">
        <v>4</v>
      </c>
      <c r="Q15" s="242"/>
      <c r="R15" s="243"/>
      <c r="S15" s="243"/>
      <c r="T15" s="243"/>
      <c r="U15" s="243"/>
      <c r="V15" s="243"/>
      <c r="W15" s="243"/>
      <c r="X15" s="243"/>
      <c r="Y15" s="243"/>
      <c r="Z15" s="243"/>
      <c r="AA15" s="243"/>
      <c r="AB15" s="243"/>
      <c r="AC15" s="256"/>
      <c r="AE15" s="254">
        <v>4</v>
      </c>
      <c r="AF15" s="242"/>
      <c r="AG15" s="243"/>
      <c r="AH15" s="243"/>
      <c r="AI15" s="243"/>
      <c r="AJ15" s="243"/>
      <c r="AK15" s="243"/>
      <c r="AL15" s="243"/>
      <c r="AM15" s="243"/>
      <c r="AN15" s="243"/>
      <c r="AO15" s="243"/>
      <c r="AP15" s="243"/>
      <c r="AQ15" s="243"/>
      <c r="AR15" s="256"/>
      <c r="AT15" s="254">
        <v>4</v>
      </c>
      <c r="AU15" s="242"/>
      <c r="AV15" s="243"/>
      <c r="AW15" s="243"/>
      <c r="AX15" s="243"/>
      <c r="AY15" s="243"/>
      <c r="AZ15" s="243"/>
      <c r="BA15" s="243"/>
      <c r="BB15" s="243"/>
      <c r="BC15" s="243"/>
      <c r="BD15" s="243"/>
      <c r="BE15" s="243"/>
      <c r="BF15" s="243"/>
      <c r="BG15" s="256"/>
    </row>
    <row r="16" spans="1:59">
      <c r="A16" s="254">
        <v>5</v>
      </c>
      <c r="B16" s="242"/>
      <c r="C16" s="243"/>
      <c r="D16" s="243"/>
      <c r="E16" s="243"/>
      <c r="F16" s="243"/>
      <c r="G16" s="243"/>
      <c r="H16" s="243"/>
      <c r="I16" s="243"/>
      <c r="J16" s="243"/>
      <c r="K16" s="243"/>
      <c r="L16" s="243"/>
      <c r="M16" s="243"/>
      <c r="N16" s="256"/>
      <c r="P16" s="254">
        <v>5</v>
      </c>
      <c r="Q16" s="242"/>
      <c r="R16" s="243"/>
      <c r="S16" s="243"/>
      <c r="T16" s="243"/>
      <c r="U16" s="243"/>
      <c r="V16" s="243"/>
      <c r="W16" s="243"/>
      <c r="X16" s="243"/>
      <c r="Y16" s="243"/>
      <c r="Z16" s="243"/>
      <c r="AA16" s="243"/>
      <c r="AB16" s="243"/>
      <c r="AC16" s="256"/>
      <c r="AE16" s="254">
        <v>5</v>
      </c>
      <c r="AF16" s="242"/>
      <c r="AG16" s="243"/>
      <c r="AH16" s="243"/>
      <c r="AI16" s="243"/>
      <c r="AJ16" s="243"/>
      <c r="AK16" s="243"/>
      <c r="AL16" s="243"/>
      <c r="AM16" s="243"/>
      <c r="AN16" s="243"/>
      <c r="AO16" s="243"/>
      <c r="AP16" s="243"/>
      <c r="AQ16" s="243"/>
      <c r="AR16" s="256"/>
      <c r="AT16" s="254">
        <v>5</v>
      </c>
      <c r="AU16" s="242"/>
      <c r="AV16" s="243"/>
      <c r="AW16" s="243"/>
      <c r="AX16" s="243"/>
      <c r="AY16" s="243"/>
      <c r="AZ16" s="243"/>
      <c r="BA16" s="243"/>
      <c r="BB16" s="243"/>
      <c r="BC16" s="243"/>
      <c r="BD16" s="243"/>
      <c r="BE16" s="243"/>
      <c r="BF16" s="243"/>
      <c r="BG16" s="256"/>
    </row>
    <row r="17" spans="1:59">
      <c r="A17" s="254">
        <v>6</v>
      </c>
      <c r="B17" s="242"/>
      <c r="C17" s="243"/>
      <c r="D17" s="243"/>
      <c r="E17" s="243"/>
      <c r="F17" s="243"/>
      <c r="G17" s="243"/>
      <c r="H17" s="243"/>
      <c r="I17" s="243"/>
      <c r="J17" s="243"/>
      <c r="K17" s="243"/>
      <c r="L17" s="243"/>
      <c r="M17" s="243"/>
      <c r="N17" s="256"/>
      <c r="P17" s="254">
        <v>6</v>
      </c>
      <c r="Q17" s="242"/>
      <c r="R17" s="243"/>
      <c r="S17" s="243"/>
      <c r="T17" s="243"/>
      <c r="U17" s="243"/>
      <c r="V17" s="243"/>
      <c r="W17" s="243"/>
      <c r="X17" s="243"/>
      <c r="Y17" s="243"/>
      <c r="Z17" s="243"/>
      <c r="AA17" s="243"/>
      <c r="AB17" s="243"/>
      <c r="AC17" s="256"/>
      <c r="AE17" s="254">
        <v>6</v>
      </c>
      <c r="AF17" s="242"/>
      <c r="AG17" s="243"/>
      <c r="AH17" s="243"/>
      <c r="AI17" s="243"/>
      <c r="AJ17" s="243"/>
      <c r="AK17" s="243"/>
      <c r="AL17" s="243"/>
      <c r="AM17" s="243"/>
      <c r="AN17" s="243"/>
      <c r="AO17" s="243"/>
      <c r="AP17" s="243"/>
      <c r="AQ17" s="243"/>
      <c r="AR17" s="256"/>
      <c r="AT17" s="254">
        <v>6</v>
      </c>
      <c r="AU17" s="242"/>
      <c r="AV17" s="243"/>
      <c r="AW17" s="243"/>
      <c r="AX17" s="243"/>
      <c r="AY17" s="243"/>
      <c r="AZ17" s="243"/>
      <c r="BA17" s="243"/>
      <c r="BB17" s="243"/>
      <c r="BC17" s="243"/>
      <c r="BD17" s="243"/>
      <c r="BE17" s="243"/>
      <c r="BF17" s="243"/>
      <c r="BG17" s="256"/>
    </row>
    <row r="18" spans="1:59">
      <c r="A18" s="254">
        <v>7</v>
      </c>
      <c r="B18" s="242"/>
      <c r="C18" s="243"/>
      <c r="D18" s="243"/>
      <c r="E18" s="243"/>
      <c r="F18" s="243"/>
      <c r="G18" s="243"/>
      <c r="H18" s="243"/>
      <c r="I18" s="243"/>
      <c r="J18" s="243"/>
      <c r="K18" s="243"/>
      <c r="L18" s="243"/>
      <c r="M18" s="243"/>
      <c r="N18" s="256"/>
      <c r="P18" s="254">
        <v>7</v>
      </c>
      <c r="Q18" s="242"/>
      <c r="R18" s="243"/>
      <c r="S18" s="243"/>
      <c r="T18" s="243"/>
      <c r="U18" s="243"/>
      <c r="V18" s="243"/>
      <c r="W18" s="243"/>
      <c r="X18" s="243"/>
      <c r="Y18" s="243"/>
      <c r="Z18" s="243"/>
      <c r="AA18" s="243"/>
      <c r="AB18" s="243"/>
      <c r="AC18" s="256"/>
      <c r="AE18" s="254">
        <v>7</v>
      </c>
      <c r="AF18" s="242"/>
      <c r="AG18" s="243"/>
      <c r="AH18" s="243"/>
      <c r="AI18" s="243"/>
      <c r="AJ18" s="243"/>
      <c r="AK18" s="243"/>
      <c r="AL18" s="243"/>
      <c r="AM18" s="243"/>
      <c r="AN18" s="243"/>
      <c r="AO18" s="243"/>
      <c r="AP18" s="243"/>
      <c r="AQ18" s="243"/>
      <c r="AR18" s="256"/>
      <c r="AT18" s="254">
        <v>7</v>
      </c>
      <c r="AU18" s="242"/>
      <c r="AV18" s="243"/>
      <c r="AW18" s="243"/>
      <c r="AX18" s="243"/>
      <c r="AY18" s="243"/>
      <c r="AZ18" s="243"/>
      <c r="BA18" s="243"/>
      <c r="BB18" s="243"/>
      <c r="BC18" s="243"/>
      <c r="BD18" s="243"/>
      <c r="BE18" s="243"/>
      <c r="BF18" s="243"/>
      <c r="BG18" s="256"/>
    </row>
    <row r="19" spans="1:59">
      <c r="A19" s="254">
        <v>8</v>
      </c>
      <c r="B19" s="242"/>
      <c r="C19" s="243"/>
      <c r="D19" s="243"/>
      <c r="E19" s="243"/>
      <c r="F19" s="243"/>
      <c r="G19" s="243"/>
      <c r="H19" s="243"/>
      <c r="I19" s="243"/>
      <c r="J19" s="243"/>
      <c r="K19" s="243"/>
      <c r="L19" s="243"/>
      <c r="M19" s="243"/>
      <c r="N19" s="256"/>
      <c r="P19" s="254">
        <v>8</v>
      </c>
      <c r="Q19" s="242"/>
      <c r="R19" s="243"/>
      <c r="S19" s="243"/>
      <c r="T19" s="243"/>
      <c r="U19" s="243"/>
      <c r="V19" s="243"/>
      <c r="W19" s="243"/>
      <c r="X19" s="243"/>
      <c r="Y19" s="243"/>
      <c r="Z19" s="243"/>
      <c r="AA19" s="243"/>
      <c r="AB19" s="243"/>
      <c r="AC19" s="256"/>
      <c r="AE19" s="254">
        <v>8</v>
      </c>
      <c r="AF19" s="242"/>
      <c r="AG19" s="243"/>
      <c r="AH19" s="243"/>
      <c r="AI19" s="243"/>
      <c r="AJ19" s="243"/>
      <c r="AK19" s="243"/>
      <c r="AL19" s="243"/>
      <c r="AM19" s="243"/>
      <c r="AN19" s="243"/>
      <c r="AO19" s="243"/>
      <c r="AP19" s="243"/>
      <c r="AQ19" s="243"/>
      <c r="AR19" s="256"/>
      <c r="AT19" s="254">
        <v>8</v>
      </c>
      <c r="AU19" s="242"/>
      <c r="AV19" s="243"/>
      <c r="AW19" s="243"/>
      <c r="AX19" s="243"/>
      <c r="AY19" s="243"/>
      <c r="AZ19" s="243"/>
      <c r="BA19" s="243"/>
      <c r="BB19" s="243"/>
      <c r="BC19" s="243"/>
      <c r="BD19" s="243"/>
      <c r="BE19" s="243"/>
      <c r="BF19" s="243"/>
      <c r="BG19" s="256"/>
    </row>
    <row r="20" spans="1:59">
      <c r="A20" s="254">
        <v>9</v>
      </c>
      <c r="B20" s="242"/>
      <c r="C20" s="243"/>
      <c r="D20" s="243"/>
      <c r="E20" s="243"/>
      <c r="F20" s="243"/>
      <c r="G20" s="243"/>
      <c r="H20" s="243"/>
      <c r="I20" s="243"/>
      <c r="J20" s="243"/>
      <c r="K20" s="243"/>
      <c r="L20" s="243"/>
      <c r="M20" s="243"/>
      <c r="N20" s="256"/>
      <c r="P20" s="254">
        <v>9</v>
      </c>
      <c r="Q20" s="242"/>
      <c r="R20" s="243"/>
      <c r="S20" s="243"/>
      <c r="T20" s="243"/>
      <c r="U20" s="243"/>
      <c r="V20" s="243"/>
      <c r="W20" s="243"/>
      <c r="X20" s="243"/>
      <c r="Y20" s="243"/>
      <c r="Z20" s="243"/>
      <c r="AA20" s="243"/>
      <c r="AB20" s="243"/>
      <c r="AC20" s="256"/>
      <c r="AE20" s="254">
        <v>9</v>
      </c>
      <c r="AF20" s="242"/>
      <c r="AG20" s="243"/>
      <c r="AH20" s="243"/>
      <c r="AI20" s="243"/>
      <c r="AJ20" s="243"/>
      <c r="AK20" s="243"/>
      <c r="AL20" s="243"/>
      <c r="AM20" s="243"/>
      <c r="AN20" s="243"/>
      <c r="AO20" s="243"/>
      <c r="AP20" s="243"/>
      <c r="AQ20" s="243"/>
      <c r="AR20" s="256"/>
      <c r="AT20" s="254">
        <v>9</v>
      </c>
      <c r="AU20" s="242"/>
      <c r="AV20" s="243"/>
      <c r="AW20" s="243"/>
      <c r="AX20" s="243"/>
      <c r="AY20" s="243"/>
      <c r="AZ20" s="243"/>
      <c r="BA20" s="243"/>
      <c r="BB20" s="243"/>
      <c r="BC20" s="243"/>
      <c r="BD20" s="243"/>
      <c r="BE20" s="243"/>
      <c r="BF20" s="243"/>
      <c r="BG20" s="256"/>
    </row>
    <row r="21" spans="1:59">
      <c r="A21" s="254">
        <v>10</v>
      </c>
      <c r="B21" s="242"/>
      <c r="C21" s="243"/>
      <c r="D21" s="243"/>
      <c r="E21" s="243"/>
      <c r="F21" s="243"/>
      <c r="G21" s="243"/>
      <c r="H21" s="243"/>
      <c r="I21" s="243"/>
      <c r="J21" s="243"/>
      <c r="K21" s="243"/>
      <c r="L21" s="243"/>
      <c r="M21" s="243"/>
      <c r="N21" s="256"/>
      <c r="P21" s="254">
        <v>10</v>
      </c>
      <c r="Q21" s="242"/>
      <c r="R21" s="243"/>
      <c r="S21" s="243"/>
      <c r="T21" s="243"/>
      <c r="U21" s="243"/>
      <c r="V21" s="243"/>
      <c r="W21" s="243"/>
      <c r="X21" s="243"/>
      <c r="Y21" s="243"/>
      <c r="Z21" s="243"/>
      <c r="AA21" s="243"/>
      <c r="AB21" s="243"/>
      <c r="AC21" s="256"/>
      <c r="AE21" s="254">
        <v>10</v>
      </c>
      <c r="AF21" s="242"/>
      <c r="AG21" s="243"/>
      <c r="AH21" s="243"/>
      <c r="AI21" s="243"/>
      <c r="AJ21" s="243"/>
      <c r="AK21" s="243"/>
      <c r="AL21" s="243"/>
      <c r="AM21" s="243"/>
      <c r="AN21" s="243"/>
      <c r="AO21" s="243"/>
      <c r="AP21" s="243"/>
      <c r="AQ21" s="243"/>
      <c r="AR21" s="256"/>
      <c r="AT21" s="254">
        <v>10</v>
      </c>
      <c r="AU21" s="242"/>
      <c r="AV21" s="243"/>
      <c r="AW21" s="243"/>
      <c r="AX21" s="243"/>
      <c r="AY21" s="243"/>
      <c r="AZ21" s="243"/>
      <c r="BA21" s="243"/>
      <c r="BB21" s="243"/>
      <c r="BC21" s="243"/>
      <c r="BD21" s="243"/>
      <c r="BE21" s="243"/>
      <c r="BF21" s="243"/>
      <c r="BG21" s="256"/>
    </row>
    <row r="22" spans="1:59">
      <c r="A22" s="254">
        <v>11</v>
      </c>
      <c r="B22" s="242"/>
      <c r="C22" s="243"/>
      <c r="D22" s="243"/>
      <c r="E22" s="243"/>
      <c r="F22" s="243"/>
      <c r="G22" s="243"/>
      <c r="H22" s="243"/>
      <c r="I22" s="243"/>
      <c r="J22" s="243"/>
      <c r="K22" s="243"/>
      <c r="L22" s="243"/>
      <c r="M22" s="243"/>
      <c r="N22" s="256"/>
      <c r="P22" s="254">
        <v>11</v>
      </c>
      <c r="Q22" s="242"/>
      <c r="R22" s="243"/>
      <c r="S22" s="243"/>
      <c r="T22" s="243"/>
      <c r="U22" s="243"/>
      <c r="V22" s="243"/>
      <c r="W22" s="243"/>
      <c r="X22" s="243"/>
      <c r="Y22" s="243"/>
      <c r="Z22" s="243"/>
      <c r="AA22" s="243"/>
      <c r="AB22" s="243"/>
      <c r="AC22" s="256"/>
      <c r="AE22" s="254">
        <v>11</v>
      </c>
      <c r="AF22" s="242"/>
      <c r="AG22" s="243"/>
      <c r="AH22" s="243"/>
      <c r="AI22" s="243"/>
      <c r="AJ22" s="243"/>
      <c r="AK22" s="243"/>
      <c r="AL22" s="243"/>
      <c r="AM22" s="243"/>
      <c r="AN22" s="243"/>
      <c r="AO22" s="243"/>
      <c r="AP22" s="243"/>
      <c r="AQ22" s="243"/>
      <c r="AR22" s="256"/>
      <c r="AT22" s="254">
        <v>11</v>
      </c>
      <c r="AU22" s="242"/>
      <c r="AV22" s="243"/>
      <c r="AW22" s="243"/>
      <c r="AX22" s="243"/>
      <c r="AY22" s="243"/>
      <c r="AZ22" s="243"/>
      <c r="BA22" s="243"/>
      <c r="BB22" s="243"/>
      <c r="BC22" s="243"/>
      <c r="BD22" s="243"/>
      <c r="BE22" s="243"/>
      <c r="BF22" s="243"/>
      <c r="BG22" s="256"/>
    </row>
    <row r="23" spans="1:59">
      <c r="A23" s="254">
        <v>12</v>
      </c>
      <c r="B23" s="242"/>
      <c r="C23" s="243"/>
      <c r="D23" s="243"/>
      <c r="E23" s="243"/>
      <c r="F23" s="243"/>
      <c r="G23" s="243"/>
      <c r="H23" s="243"/>
      <c r="I23" s="243"/>
      <c r="J23" s="243"/>
      <c r="K23" s="243"/>
      <c r="L23" s="243"/>
      <c r="M23" s="243"/>
      <c r="N23" s="256"/>
      <c r="P23" s="254">
        <v>12</v>
      </c>
      <c r="Q23" s="242"/>
      <c r="R23" s="243"/>
      <c r="S23" s="243"/>
      <c r="T23" s="243"/>
      <c r="U23" s="243"/>
      <c r="V23" s="243"/>
      <c r="W23" s="243"/>
      <c r="X23" s="243"/>
      <c r="Y23" s="243"/>
      <c r="Z23" s="243"/>
      <c r="AA23" s="243"/>
      <c r="AB23" s="243"/>
      <c r="AC23" s="256"/>
      <c r="AE23" s="254">
        <v>12</v>
      </c>
      <c r="AF23" s="242"/>
      <c r="AG23" s="243"/>
      <c r="AH23" s="243"/>
      <c r="AI23" s="243"/>
      <c r="AJ23" s="243"/>
      <c r="AK23" s="243"/>
      <c r="AL23" s="243"/>
      <c r="AM23" s="243"/>
      <c r="AN23" s="243"/>
      <c r="AO23" s="243"/>
      <c r="AP23" s="243"/>
      <c r="AQ23" s="243"/>
      <c r="AR23" s="256"/>
      <c r="AT23" s="254">
        <v>12</v>
      </c>
      <c r="AU23" s="242"/>
      <c r="AV23" s="243"/>
      <c r="AW23" s="243"/>
      <c r="AX23" s="243"/>
      <c r="AY23" s="243"/>
      <c r="AZ23" s="243"/>
      <c r="BA23" s="243"/>
      <c r="BB23" s="243"/>
      <c r="BC23" s="243"/>
      <c r="BD23" s="243"/>
      <c r="BE23" s="243"/>
      <c r="BF23" s="243"/>
      <c r="BG23" s="256"/>
    </row>
    <row r="24" spans="1:59">
      <c r="A24" s="254">
        <v>13</v>
      </c>
      <c r="B24" s="242"/>
      <c r="C24" s="243"/>
      <c r="D24" s="243"/>
      <c r="E24" s="243"/>
      <c r="F24" s="243"/>
      <c r="G24" s="243"/>
      <c r="H24" s="243"/>
      <c r="I24" s="243"/>
      <c r="J24" s="243"/>
      <c r="K24" s="243"/>
      <c r="L24" s="243"/>
      <c r="M24" s="243"/>
      <c r="N24" s="256"/>
      <c r="P24" s="254">
        <v>13</v>
      </c>
      <c r="Q24" s="242"/>
      <c r="R24" s="243"/>
      <c r="S24" s="243"/>
      <c r="T24" s="243"/>
      <c r="U24" s="243"/>
      <c r="V24" s="243"/>
      <c r="W24" s="243"/>
      <c r="X24" s="243"/>
      <c r="Y24" s="243"/>
      <c r="Z24" s="243"/>
      <c r="AA24" s="243"/>
      <c r="AB24" s="243"/>
      <c r="AC24" s="256"/>
      <c r="AE24" s="254">
        <v>13</v>
      </c>
      <c r="AF24" s="242"/>
      <c r="AG24" s="243"/>
      <c r="AH24" s="243"/>
      <c r="AI24" s="243"/>
      <c r="AJ24" s="243"/>
      <c r="AK24" s="243"/>
      <c r="AL24" s="243"/>
      <c r="AM24" s="243"/>
      <c r="AN24" s="243"/>
      <c r="AO24" s="243"/>
      <c r="AP24" s="243"/>
      <c r="AQ24" s="243"/>
      <c r="AR24" s="256"/>
      <c r="AT24" s="254">
        <v>13</v>
      </c>
      <c r="AU24" s="242"/>
      <c r="AV24" s="243"/>
      <c r="AW24" s="243"/>
      <c r="AX24" s="243"/>
      <c r="AY24" s="243"/>
      <c r="AZ24" s="243"/>
      <c r="BA24" s="243"/>
      <c r="BB24" s="243"/>
      <c r="BC24" s="243"/>
      <c r="BD24" s="243"/>
      <c r="BE24" s="243"/>
      <c r="BF24" s="243"/>
      <c r="BG24" s="256"/>
    </row>
    <row r="25" spans="1:59">
      <c r="A25" s="254">
        <v>14</v>
      </c>
      <c r="B25" s="242"/>
      <c r="C25" s="243"/>
      <c r="D25" s="243"/>
      <c r="E25" s="243"/>
      <c r="F25" s="243"/>
      <c r="G25" s="243"/>
      <c r="H25" s="243"/>
      <c r="I25" s="243"/>
      <c r="J25" s="243"/>
      <c r="K25" s="243"/>
      <c r="L25" s="243"/>
      <c r="M25" s="243"/>
      <c r="N25" s="256"/>
      <c r="P25" s="254">
        <v>14</v>
      </c>
      <c r="Q25" s="242"/>
      <c r="R25" s="243"/>
      <c r="S25" s="243"/>
      <c r="T25" s="243"/>
      <c r="U25" s="243"/>
      <c r="V25" s="243"/>
      <c r="W25" s="243"/>
      <c r="X25" s="243"/>
      <c r="Y25" s="243"/>
      <c r="Z25" s="243"/>
      <c r="AA25" s="243"/>
      <c r="AB25" s="243"/>
      <c r="AC25" s="256"/>
      <c r="AE25" s="254">
        <v>14</v>
      </c>
      <c r="AF25" s="242"/>
      <c r="AG25" s="243"/>
      <c r="AH25" s="243"/>
      <c r="AI25" s="243"/>
      <c r="AJ25" s="243"/>
      <c r="AK25" s="243"/>
      <c r="AL25" s="243"/>
      <c r="AM25" s="243"/>
      <c r="AN25" s="243"/>
      <c r="AO25" s="243"/>
      <c r="AP25" s="243"/>
      <c r="AQ25" s="243"/>
      <c r="AR25" s="256"/>
      <c r="AT25" s="254">
        <v>14</v>
      </c>
      <c r="AU25" s="242"/>
      <c r="AV25" s="243"/>
      <c r="AW25" s="243"/>
      <c r="AX25" s="243"/>
      <c r="AY25" s="243"/>
      <c r="AZ25" s="243"/>
      <c r="BA25" s="243"/>
      <c r="BB25" s="243"/>
      <c r="BC25" s="243"/>
      <c r="BD25" s="243"/>
      <c r="BE25" s="243"/>
      <c r="BF25" s="243"/>
      <c r="BG25" s="256"/>
    </row>
    <row r="26" spans="1:59">
      <c r="A26" s="254">
        <v>15</v>
      </c>
      <c r="B26" s="242"/>
      <c r="C26" s="243"/>
      <c r="D26" s="243"/>
      <c r="E26" s="243"/>
      <c r="F26" s="243"/>
      <c r="G26" s="243"/>
      <c r="H26" s="243"/>
      <c r="I26" s="243"/>
      <c r="J26" s="243"/>
      <c r="K26" s="243"/>
      <c r="L26" s="243"/>
      <c r="M26" s="243"/>
      <c r="N26" s="256"/>
      <c r="P26" s="254">
        <v>15</v>
      </c>
      <c r="Q26" s="242"/>
      <c r="R26" s="243"/>
      <c r="S26" s="243"/>
      <c r="T26" s="243"/>
      <c r="U26" s="243"/>
      <c r="V26" s="243"/>
      <c r="W26" s="243"/>
      <c r="X26" s="243"/>
      <c r="Y26" s="243"/>
      <c r="Z26" s="243"/>
      <c r="AA26" s="243"/>
      <c r="AB26" s="243"/>
      <c r="AC26" s="256"/>
      <c r="AE26" s="254">
        <v>15</v>
      </c>
      <c r="AF26" s="242"/>
      <c r="AG26" s="243"/>
      <c r="AH26" s="243"/>
      <c r="AI26" s="243"/>
      <c r="AJ26" s="243"/>
      <c r="AK26" s="243"/>
      <c r="AL26" s="243"/>
      <c r="AM26" s="243"/>
      <c r="AN26" s="243"/>
      <c r="AO26" s="243"/>
      <c r="AP26" s="243"/>
      <c r="AQ26" s="243"/>
      <c r="AR26" s="256"/>
      <c r="AT26" s="254">
        <v>15</v>
      </c>
      <c r="AU26" s="242"/>
      <c r="AV26" s="243"/>
      <c r="AW26" s="243"/>
      <c r="AX26" s="243"/>
      <c r="AY26" s="243"/>
      <c r="AZ26" s="243"/>
      <c r="BA26" s="243"/>
      <c r="BB26" s="243"/>
      <c r="BC26" s="243"/>
      <c r="BD26" s="243"/>
      <c r="BE26" s="243"/>
      <c r="BF26" s="243"/>
      <c r="BG26" s="256"/>
    </row>
    <row r="27" spans="1:59">
      <c r="A27" s="254">
        <v>16</v>
      </c>
      <c r="B27" s="242"/>
      <c r="C27" s="243"/>
      <c r="D27" s="243"/>
      <c r="E27" s="243"/>
      <c r="F27" s="243"/>
      <c r="G27" s="243"/>
      <c r="H27" s="243"/>
      <c r="I27" s="243"/>
      <c r="J27" s="243"/>
      <c r="K27" s="243"/>
      <c r="L27" s="243"/>
      <c r="M27" s="243"/>
      <c r="N27" s="256"/>
      <c r="P27" s="254">
        <v>16</v>
      </c>
      <c r="Q27" s="242"/>
      <c r="R27" s="243"/>
      <c r="S27" s="243"/>
      <c r="T27" s="243"/>
      <c r="U27" s="243"/>
      <c r="V27" s="243"/>
      <c r="W27" s="243"/>
      <c r="X27" s="243"/>
      <c r="Y27" s="243"/>
      <c r="Z27" s="243"/>
      <c r="AA27" s="243"/>
      <c r="AB27" s="243"/>
      <c r="AC27" s="256"/>
      <c r="AE27" s="254">
        <v>16</v>
      </c>
      <c r="AF27" s="242"/>
      <c r="AG27" s="243"/>
      <c r="AH27" s="243"/>
      <c r="AI27" s="243"/>
      <c r="AJ27" s="243"/>
      <c r="AK27" s="243"/>
      <c r="AL27" s="243"/>
      <c r="AM27" s="243"/>
      <c r="AN27" s="243"/>
      <c r="AO27" s="243"/>
      <c r="AP27" s="243"/>
      <c r="AQ27" s="243"/>
      <c r="AR27" s="256"/>
      <c r="AT27" s="254">
        <v>16</v>
      </c>
      <c r="AU27" s="242"/>
      <c r="AV27" s="243"/>
      <c r="AW27" s="243"/>
      <c r="AX27" s="243"/>
      <c r="AY27" s="243"/>
      <c r="AZ27" s="243"/>
      <c r="BA27" s="243"/>
      <c r="BB27" s="243"/>
      <c r="BC27" s="243"/>
      <c r="BD27" s="243"/>
      <c r="BE27" s="243"/>
      <c r="BF27" s="243"/>
      <c r="BG27" s="256"/>
    </row>
    <row r="28" spans="1:59">
      <c r="A28" s="254">
        <v>17</v>
      </c>
      <c r="B28" s="242"/>
      <c r="C28" s="243"/>
      <c r="D28" s="243"/>
      <c r="E28" s="243"/>
      <c r="F28" s="243"/>
      <c r="G28" s="243"/>
      <c r="H28" s="243"/>
      <c r="I28" s="243"/>
      <c r="J28" s="243"/>
      <c r="K28" s="243"/>
      <c r="L28" s="243"/>
      <c r="M28" s="243"/>
      <c r="N28" s="256"/>
      <c r="P28" s="254">
        <v>17</v>
      </c>
      <c r="Q28" s="242"/>
      <c r="R28" s="243"/>
      <c r="S28" s="243"/>
      <c r="T28" s="243"/>
      <c r="U28" s="243"/>
      <c r="V28" s="243"/>
      <c r="W28" s="243"/>
      <c r="X28" s="243"/>
      <c r="Y28" s="243"/>
      <c r="Z28" s="243"/>
      <c r="AA28" s="243"/>
      <c r="AB28" s="243"/>
      <c r="AC28" s="256"/>
      <c r="AE28" s="254">
        <v>17</v>
      </c>
      <c r="AF28" s="242"/>
      <c r="AG28" s="243"/>
      <c r="AH28" s="243"/>
      <c r="AI28" s="243"/>
      <c r="AJ28" s="243"/>
      <c r="AK28" s="243"/>
      <c r="AL28" s="243"/>
      <c r="AM28" s="243"/>
      <c r="AN28" s="243"/>
      <c r="AO28" s="243"/>
      <c r="AP28" s="243"/>
      <c r="AQ28" s="243"/>
      <c r="AR28" s="256"/>
      <c r="AT28" s="254">
        <v>17</v>
      </c>
      <c r="AU28" s="242"/>
      <c r="AV28" s="243"/>
      <c r="AW28" s="243"/>
      <c r="AX28" s="243"/>
      <c r="AY28" s="243"/>
      <c r="AZ28" s="243"/>
      <c r="BA28" s="243"/>
      <c r="BB28" s="243"/>
      <c r="BC28" s="243"/>
      <c r="BD28" s="243"/>
      <c r="BE28" s="243"/>
      <c r="BF28" s="243"/>
      <c r="BG28" s="256"/>
    </row>
    <row r="29" spans="1:59">
      <c r="A29" s="254">
        <v>18</v>
      </c>
      <c r="B29" s="242"/>
      <c r="C29" s="243"/>
      <c r="D29" s="243"/>
      <c r="E29" s="243"/>
      <c r="F29" s="243"/>
      <c r="G29" s="243"/>
      <c r="H29" s="243"/>
      <c r="I29" s="243"/>
      <c r="J29" s="243"/>
      <c r="K29" s="243"/>
      <c r="L29" s="243"/>
      <c r="M29" s="243"/>
      <c r="N29" s="256"/>
      <c r="P29" s="254">
        <v>18</v>
      </c>
      <c r="Q29" s="242"/>
      <c r="R29" s="243"/>
      <c r="S29" s="243"/>
      <c r="T29" s="243"/>
      <c r="U29" s="243"/>
      <c r="V29" s="243"/>
      <c r="W29" s="243"/>
      <c r="X29" s="243"/>
      <c r="Y29" s="243"/>
      <c r="Z29" s="243"/>
      <c r="AA29" s="243"/>
      <c r="AB29" s="243"/>
      <c r="AC29" s="256"/>
      <c r="AE29" s="254">
        <v>18</v>
      </c>
      <c r="AF29" s="242"/>
      <c r="AG29" s="243"/>
      <c r="AH29" s="243"/>
      <c r="AI29" s="243"/>
      <c r="AJ29" s="243"/>
      <c r="AK29" s="243"/>
      <c r="AL29" s="243"/>
      <c r="AM29" s="243"/>
      <c r="AN29" s="243"/>
      <c r="AO29" s="243"/>
      <c r="AP29" s="243"/>
      <c r="AQ29" s="243"/>
      <c r="AR29" s="256"/>
      <c r="AT29" s="254">
        <v>18</v>
      </c>
      <c r="AU29" s="242"/>
      <c r="AV29" s="243"/>
      <c r="AW29" s="243"/>
      <c r="AX29" s="243"/>
      <c r="AY29" s="243"/>
      <c r="AZ29" s="243"/>
      <c r="BA29" s="243"/>
      <c r="BB29" s="243"/>
      <c r="BC29" s="243"/>
      <c r="BD29" s="243"/>
      <c r="BE29" s="243"/>
      <c r="BF29" s="243"/>
      <c r="BG29" s="256"/>
    </row>
    <row r="30" spans="1:59">
      <c r="A30" s="254">
        <v>19</v>
      </c>
      <c r="B30" s="242"/>
      <c r="C30" s="243"/>
      <c r="D30" s="243"/>
      <c r="E30" s="243"/>
      <c r="F30" s="243"/>
      <c r="G30" s="243"/>
      <c r="H30" s="243"/>
      <c r="I30" s="243"/>
      <c r="J30" s="243"/>
      <c r="K30" s="243"/>
      <c r="L30" s="243"/>
      <c r="M30" s="243"/>
      <c r="N30" s="256"/>
      <c r="P30" s="254">
        <v>19</v>
      </c>
      <c r="Q30" s="242"/>
      <c r="R30" s="243"/>
      <c r="S30" s="243"/>
      <c r="T30" s="243"/>
      <c r="U30" s="243"/>
      <c r="V30" s="243"/>
      <c r="W30" s="243"/>
      <c r="X30" s="243"/>
      <c r="Y30" s="243"/>
      <c r="Z30" s="243"/>
      <c r="AA30" s="243"/>
      <c r="AB30" s="243"/>
      <c r="AC30" s="256"/>
      <c r="AE30" s="254">
        <v>19</v>
      </c>
      <c r="AF30" s="242"/>
      <c r="AG30" s="243"/>
      <c r="AH30" s="243"/>
      <c r="AI30" s="243"/>
      <c r="AJ30" s="243"/>
      <c r="AK30" s="243"/>
      <c r="AL30" s="243"/>
      <c r="AM30" s="243"/>
      <c r="AN30" s="243"/>
      <c r="AO30" s="243"/>
      <c r="AP30" s="243"/>
      <c r="AQ30" s="243"/>
      <c r="AR30" s="256"/>
      <c r="AT30" s="254">
        <v>19</v>
      </c>
      <c r="AU30" s="242"/>
      <c r="AV30" s="243"/>
      <c r="AW30" s="243"/>
      <c r="AX30" s="243"/>
      <c r="AY30" s="243"/>
      <c r="AZ30" s="243"/>
      <c r="BA30" s="243"/>
      <c r="BB30" s="243"/>
      <c r="BC30" s="243"/>
      <c r="BD30" s="243"/>
      <c r="BE30" s="243"/>
      <c r="BF30" s="243"/>
      <c r="BG30" s="256"/>
    </row>
    <row r="31" spans="1:59">
      <c r="A31" s="254">
        <v>20</v>
      </c>
      <c r="B31" s="242"/>
      <c r="C31" s="243"/>
      <c r="D31" s="243"/>
      <c r="E31" s="243"/>
      <c r="F31" s="243"/>
      <c r="G31" s="243"/>
      <c r="H31" s="243"/>
      <c r="I31" s="243"/>
      <c r="J31" s="243"/>
      <c r="K31" s="243"/>
      <c r="L31" s="243"/>
      <c r="M31" s="243"/>
      <c r="N31" s="256"/>
      <c r="P31" s="254">
        <v>20</v>
      </c>
      <c r="Q31" s="242"/>
      <c r="R31" s="243"/>
      <c r="S31" s="243"/>
      <c r="T31" s="243"/>
      <c r="U31" s="243"/>
      <c r="V31" s="243"/>
      <c r="W31" s="243"/>
      <c r="X31" s="243"/>
      <c r="Y31" s="243"/>
      <c r="Z31" s="243"/>
      <c r="AA31" s="243"/>
      <c r="AB31" s="243"/>
      <c r="AC31" s="256"/>
      <c r="AE31" s="254">
        <v>20</v>
      </c>
      <c r="AF31" s="242"/>
      <c r="AG31" s="243"/>
      <c r="AH31" s="243"/>
      <c r="AI31" s="243"/>
      <c r="AJ31" s="243"/>
      <c r="AK31" s="243"/>
      <c r="AL31" s="243"/>
      <c r="AM31" s="243"/>
      <c r="AN31" s="243"/>
      <c r="AO31" s="243"/>
      <c r="AP31" s="243"/>
      <c r="AQ31" s="243"/>
      <c r="AR31" s="256"/>
      <c r="AT31" s="254">
        <v>20</v>
      </c>
      <c r="AU31" s="242"/>
      <c r="AV31" s="243"/>
      <c r="AW31" s="243"/>
      <c r="AX31" s="243"/>
      <c r="AY31" s="243"/>
      <c r="AZ31" s="243"/>
      <c r="BA31" s="243"/>
      <c r="BB31" s="243"/>
      <c r="BC31" s="243"/>
      <c r="BD31" s="243"/>
      <c r="BE31" s="243"/>
      <c r="BF31" s="243"/>
      <c r="BG31" s="256"/>
    </row>
    <row r="32" spans="1:59">
      <c r="A32" s="254">
        <v>21</v>
      </c>
      <c r="B32" s="242"/>
      <c r="C32" s="243"/>
      <c r="D32" s="243"/>
      <c r="E32" s="243"/>
      <c r="F32" s="243"/>
      <c r="G32" s="243"/>
      <c r="H32" s="243"/>
      <c r="I32" s="243"/>
      <c r="J32" s="243"/>
      <c r="K32" s="243"/>
      <c r="L32" s="243"/>
      <c r="M32" s="243"/>
      <c r="N32" s="256"/>
      <c r="P32" s="254">
        <v>21</v>
      </c>
      <c r="Q32" s="242"/>
      <c r="R32" s="243"/>
      <c r="S32" s="243"/>
      <c r="T32" s="243"/>
      <c r="U32" s="243"/>
      <c r="V32" s="243"/>
      <c r="W32" s="243"/>
      <c r="X32" s="243"/>
      <c r="Y32" s="243"/>
      <c r="Z32" s="243"/>
      <c r="AA32" s="243"/>
      <c r="AB32" s="243"/>
      <c r="AC32" s="256"/>
      <c r="AE32" s="254">
        <v>21</v>
      </c>
      <c r="AF32" s="242"/>
      <c r="AG32" s="243"/>
      <c r="AH32" s="243"/>
      <c r="AI32" s="243"/>
      <c r="AJ32" s="243"/>
      <c r="AK32" s="243"/>
      <c r="AL32" s="243"/>
      <c r="AM32" s="243"/>
      <c r="AN32" s="243"/>
      <c r="AO32" s="243"/>
      <c r="AP32" s="243"/>
      <c r="AQ32" s="243"/>
      <c r="AR32" s="256"/>
      <c r="AT32" s="254">
        <v>21</v>
      </c>
      <c r="AU32" s="242"/>
      <c r="AV32" s="243"/>
      <c r="AW32" s="243"/>
      <c r="AX32" s="243"/>
      <c r="AY32" s="243"/>
      <c r="AZ32" s="243"/>
      <c r="BA32" s="243"/>
      <c r="BB32" s="243"/>
      <c r="BC32" s="243"/>
      <c r="BD32" s="243"/>
      <c r="BE32" s="243"/>
      <c r="BF32" s="243"/>
      <c r="BG32" s="256"/>
    </row>
    <row r="33" spans="1:59">
      <c r="A33" s="254">
        <v>22</v>
      </c>
      <c r="B33" s="242"/>
      <c r="C33" s="243"/>
      <c r="D33" s="243"/>
      <c r="E33" s="243"/>
      <c r="F33" s="243"/>
      <c r="G33" s="243"/>
      <c r="H33" s="243"/>
      <c r="I33" s="243"/>
      <c r="J33" s="243"/>
      <c r="K33" s="243"/>
      <c r="L33" s="243"/>
      <c r="M33" s="243"/>
      <c r="N33" s="256"/>
      <c r="P33" s="254">
        <v>22</v>
      </c>
      <c r="Q33" s="242"/>
      <c r="R33" s="243"/>
      <c r="S33" s="243"/>
      <c r="T33" s="243"/>
      <c r="U33" s="243"/>
      <c r="V33" s="243"/>
      <c r="W33" s="243"/>
      <c r="X33" s="243"/>
      <c r="Y33" s="243"/>
      <c r="Z33" s="243"/>
      <c r="AA33" s="243"/>
      <c r="AB33" s="243"/>
      <c r="AC33" s="256"/>
      <c r="AE33" s="254">
        <v>22</v>
      </c>
      <c r="AF33" s="242"/>
      <c r="AG33" s="243"/>
      <c r="AH33" s="243"/>
      <c r="AI33" s="243"/>
      <c r="AJ33" s="243"/>
      <c r="AK33" s="243"/>
      <c r="AL33" s="243"/>
      <c r="AM33" s="243"/>
      <c r="AN33" s="243"/>
      <c r="AO33" s="243"/>
      <c r="AP33" s="243"/>
      <c r="AQ33" s="243"/>
      <c r="AR33" s="256"/>
      <c r="AT33" s="254">
        <v>22</v>
      </c>
      <c r="AU33" s="242"/>
      <c r="AV33" s="243"/>
      <c r="AW33" s="243"/>
      <c r="AX33" s="243"/>
      <c r="AY33" s="243"/>
      <c r="AZ33" s="243"/>
      <c r="BA33" s="243"/>
      <c r="BB33" s="243"/>
      <c r="BC33" s="243"/>
      <c r="BD33" s="243"/>
      <c r="BE33" s="243"/>
      <c r="BF33" s="243"/>
      <c r="BG33" s="256"/>
    </row>
    <row r="34" spans="1:59">
      <c r="A34" s="254">
        <v>23</v>
      </c>
      <c r="B34" s="242"/>
      <c r="C34" s="243"/>
      <c r="D34" s="243"/>
      <c r="E34" s="243"/>
      <c r="F34" s="243"/>
      <c r="G34" s="243"/>
      <c r="H34" s="243"/>
      <c r="I34" s="243"/>
      <c r="J34" s="243"/>
      <c r="K34" s="243"/>
      <c r="L34" s="243"/>
      <c r="M34" s="243"/>
      <c r="N34" s="256"/>
      <c r="P34" s="254">
        <v>23</v>
      </c>
      <c r="Q34" s="242"/>
      <c r="R34" s="243"/>
      <c r="S34" s="243"/>
      <c r="T34" s="243"/>
      <c r="U34" s="243"/>
      <c r="V34" s="243"/>
      <c r="W34" s="243"/>
      <c r="X34" s="243"/>
      <c r="Y34" s="243"/>
      <c r="Z34" s="243"/>
      <c r="AA34" s="243"/>
      <c r="AB34" s="243"/>
      <c r="AC34" s="256"/>
      <c r="AE34" s="254">
        <v>23</v>
      </c>
      <c r="AF34" s="242"/>
      <c r="AG34" s="243"/>
      <c r="AH34" s="243"/>
      <c r="AI34" s="243"/>
      <c r="AJ34" s="243"/>
      <c r="AK34" s="243"/>
      <c r="AL34" s="243"/>
      <c r="AM34" s="243"/>
      <c r="AN34" s="243"/>
      <c r="AO34" s="243"/>
      <c r="AP34" s="243"/>
      <c r="AQ34" s="243"/>
      <c r="AR34" s="256"/>
      <c r="AT34" s="254">
        <v>23</v>
      </c>
      <c r="AU34" s="242"/>
      <c r="AV34" s="243"/>
      <c r="AW34" s="243"/>
      <c r="AX34" s="243"/>
      <c r="AY34" s="243"/>
      <c r="AZ34" s="243"/>
      <c r="BA34" s="243"/>
      <c r="BB34" s="243"/>
      <c r="BC34" s="243"/>
      <c r="BD34" s="243"/>
      <c r="BE34" s="243"/>
      <c r="BF34" s="243"/>
      <c r="BG34" s="256"/>
    </row>
    <row r="35" spans="1:59">
      <c r="A35" s="254">
        <v>24</v>
      </c>
      <c r="B35" s="242"/>
      <c r="C35" s="243"/>
      <c r="D35" s="243"/>
      <c r="E35" s="243"/>
      <c r="F35" s="243"/>
      <c r="G35" s="243"/>
      <c r="H35" s="243"/>
      <c r="I35" s="243"/>
      <c r="J35" s="243"/>
      <c r="K35" s="243"/>
      <c r="L35" s="243"/>
      <c r="M35" s="243"/>
      <c r="N35" s="256"/>
      <c r="P35" s="254">
        <v>24</v>
      </c>
      <c r="Q35" s="242"/>
      <c r="R35" s="243"/>
      <c r="S35" s="243"/>
      <c r="T35" s="243"/>
      <c r="U35" s="243"/>
      <c r="V35" s="243"/>
      <c r="W35" s="243"/>
      <c r="X35" s="243"/>
      <c r="Y35" s="243"/>
      <c r="Z35" s="243"/>
      <c r="AA35" s="243"/>
      <c r="AB35" s="243"/>
      <c r="AC35" s="256"/>
      <c r="AE35" s="254">
        <v>24</v>
      </c>
      <c r="AF35" s="242"/>
      <c r="AG35" s="243"/>
      <c r="AH35" s="243"/>
      <c r="AI35" s="243"/>
      <c r="AJ35" s="243"/>
      <c r="AK35" s="243"/>
      <c r="AL35" s="243"/>
      <c r="AM35" s="243"/>
      <c r="AN35" s="243"/>
      <c r="AO35" s="243"/>
      <c r="AP35" s="243"/>
      <c r="AQ35" s="243"/>
      <c r="AR35" s="256"/>
      <c r="AT35" s="254">
        <v>24</v>
      </c>
      <c r="AU35" s="242"/>
      <c r="AV35" s="243"/>
      <c r="AW35" s="243"/>
      <c r="AX35" s="243"/>
      <c r="AY35" s="243"/>
      <c r="AZ35" s="243"/>
      <c r="BA35" s="243"/>
      <c r="BB35" s="243"/>
      <c r="BC35" s="243"/>
      <c r="BD35" s="243"/>
      <c r="BE35" s="243"/>
      <c r="BF35" s="243"/>
      <c r="BG35" s="256"/>
    </row>
    <row r="36" spans="1:59">
      <c r="A36" s="254">
        <v>25</v>
      </c>
      <c r="B36" s="242"/>
      <c r="C36" s="243"/>
      <c r="D36" s="243"/>
      <c r="E36" s="243"/>
      <c r="F36" s="243"/>
      <c r="G36" s="243"/>
      <c r="H36" s="243"/>
      <c r="I36" s="243"/>
      <c r="J36" s="243"/>
      <c r="K36" s="243"/>
      <c r="L36" s="243"/>
      <c r="M36" s="243"/>
      <c r="N36" s="256"/>
      <c r="P36" s="254">
        <v>25</v>
      </c>
      <c r="Q36" s="242"/>
      <c r="R36" s="243"/>
      <c r="S36" s="243"/>
      <c r="T36" s="243"/>
      <c r="U36" s="243"/>
      <c r="V36" s="243"/>
      <c r="W36" s="243"/>
      <c r="X36" s="243"/>
      <c r="Y36" s="243"/>
      <c r="Z36" s="243"/>
      <c r="AA36" s="243"/>
      <c r="AB36" s="243"/>
      <c r="AC36" s="256"/>
      <c r="AE36" s="254">
        <v>25</v>
      </c>
      <c r="AF36" s="242"/>
      <c r="AG36" s="243"/>
      <c r="AH36" s="243"/>
      <c r="AI36" s="243"/>
      <c r="AJ36" s="243"/>
      <c r="AK36" s="243"/>
      <c r="AL36" s="243"/>
      <c r="AM36" s="243"/>
      <c r="AN36" s="243"/>
      <c r="AO36" s="243"/>
      <c r="AP36" s="243"/>
      <c r="AQ36" s="243"/>
      <c r="AR36" s="256"/>
      <c r="AT36" s="254">
        <v>25</v>
      </c>
      <c r="AU36" s="242"/>
      <c r="AV36" s="243"/>
      <c r="AW36" s="243"/>
      <c r="AX36" s="243"/>
      <c r="AY36" s="243"/>
      <c r="AZ36" s="243"/>
      <c r="BA36" s="243"/>
      <c r="BB36" s="243"/>
      <c r="BC36" s="243"/>
      <c r="BD36" s="243"/>
      <c r="BE36" s="243"/>
      <c r="BF36" s="243"/>
      <c r="BG36" s="256"/>
    </row>
    <row r="37" spans="1:59">
      <c r="A37" s="254">
        <v>26</v>
      </c>
      <c r="B37" s="242"/>
      <c r="C37" s="243"/>
      <c r="D37" s="243"/>
      <c r="E37" s="243"/>
      <c r="F37" s="243"/>
      <c r="G37" s="243"/>
      <c r="H37" s="243"/>
      <c r="I37" s="243"/>
      <c r="J37" s="243"/>
      <c r="K37" s="243"/>
      <c r="L37" s="243"/>
      <c r="M37" s="243"/>
      <c r="N37" s="256"/>
      <c r="P37" s="254">
        <v>26</v>
      </c>
      <c r="Q37" s="242"/>
      <c r="R37" s="243"/>
      <c r="S37" s="243"/>
      <c r="T37" s="243"/>
      <c r="U37" s="243"/>
      <c r="V37" s="243"/>
      <c r="W37" s="243"/>
      <c r="X37" s="243"/>
      <c r="Y37" s="243"/>
      <c r="Z37" s="243"/>
      <c r="AA37" s="243"/>
      <c r="AB37" s="243"/>
      <c r="AC37" s="256"/>
      <c r="AE37" s="254">
        <v>26</v>
      </c>
      <c r="AF37" s="242"/>
      <c r="AG37" s="243"/>
      <c r="AH37" s="243"/>
      <c r="AI37" s="243"/>
      <c r="AJ37" s="243"/>
      <c r="AK37" s="243"/>
      <c r="AL37" s="243"/>
      <c r="AM37" s="243"/>
      <c r="AN37" s="243"/>
      <c r="AO37" s="243"/>
      <c r="AP37" s="243"/>
      <c r="AQ37" s="243"/>
      <c r="AR37" s="256"/>
      <c r="AT37" s="254">
        <v>26</v>
      </c>
      <c r="AU37" s="242"/>
      <c r="AV37" s="243"/>
      <c r="AW37" s="243"/>
      <c r="AX37" s="243"/>
      <c r="AY37" s="243"/>
      <c r="AZ37" s="243"/>
      <c r="BA37" s="243"/>
      <c r="BB37" s="243"/>
      <c r="BC37" s="243"/>
      <c r="BD37" s="243"/>
      <c r="BE37" s="243"/>
      <c r="BF37" s="243"/>
      <c r="BG37" s="256"/>
    </row>
    <row r="38" spans="1:59">
      <c r="A38" s="254">
        <v>27</v>
      </c>
      <c r="B38" s="242"/>
      <c r="C38" s="243"/>
      <c r="D38" s="243"/>
      <c r="E38" s="243"/>
      <c r="F38" s="243"/>
      <c r="G38" s="243"/>
      <c r="H38" s="243"/>
      <c r="I38" s="243"/>
      <c r="J38" s="243"/>
      <c r="K38" s="243"/>
      <c r="L38" s="243"/>
      <c r="M38" s="243"/>
      <c r="N38" s="256"/>
      <c r="P38" s="254">
        <v>27</v>
      </c>
      <c r="Q38" s="242"/>
      <c r="R38" s="243"/>
      <c r="S38" s="243"/>
      <c r="T38" s="243"/>
      <c r="U38" s="243"/>
      <c r="V38" s="243"/>
      <c r="W38" s="243"/>
      <c r="X38" s="243"/>
      <c r="Y38" s="243"/>
      <c r="Z38" s="243"/>
      <c r="AA38" s="243"/>
      <c r="AB38" s="243"/>
      <c r="AC38" s="256"/>
      <c r="AE38" s="254">
        <v>27</v>
      </c>
      <c r="AF38" s="242"/>
      <c r="AG38" s="243"/>
      <c r="AH38" s="243"/>
      <c r="AI38" s="243"/>
      <c r="AJ38" s="243"/>
      <c r="AK38" s="243"/>
      <c r="AL38" s="243"/>
      <c r="AM38" s="243"/>
      <c r="AN38" s="243"/>
      <c r="AO38" s="243"/>
      <c r="AP38" s="243"/>
      <c r="AQ38" s="243"/>
      <c r="AR38" s="256"/>
      <c r="AT38" s="254">
        <v>27</v>
      </c>
      <c r="AU38" s="242"/>
      <c r="AV38" s="243"/>
      <c r="AW38" s="243"/>
      <c r="AX38" s="243"/>
      <c r="AY38" s="243"/>
      <c r="AZ38" s="243"/>
      <c r="BA38" s="243"/>
      <c r="BB38" s="243"/>
      <c r="BC38" s="243"/>
      <c r="BD38" s="243"/>
      <c r="BE38" s="243"/>
      <c r="BF38" s="243"/>
      <c r="BG38" s="256"/>
    </row>
    <row r="39" spans="1:59">
      <c r="A39" s="254">
        <v>28</v>
      </c>
      <c r="B39" s="242"/>
      <c r="C39" s="243"/>
      <c r="D39" s="243"/>
      <c r="E39" s="243"/>
      <c r="F39" s="243"/>
      <c r="G39" s="243"/>
      <c r="H39" s="243"/>
      <c r="I39" s="243"/>
      <c r="J39" s="243"/>
      <c r="K39" s="243"/>
      <c r="L39" s="243"/>
      <c r="M39" s="243"/>
      <c r="N39" s="256"/>
      <c r="P39" s="254">
        <v>28</v>
      </c>
      <c r="Q39" s="242"/>
      <c r="R39" s="243"/>
      <c r="S39" s="243"/>
      <c r="T39" s="243"/>
      <c r="U39" s="243"/>
      <c r="V39" s="243"/>
      <c r="W39" s="243"/>
      <c r="X39" s="243"/>
      <c r="Y39" s="243"/>
      <c r="Z39" s="243"/>
      <c r="AA39" s="243"/>
      <c r="AB39" s="243"/>
      <c r="AC39" s="256"/>
      <c r="AE39" s="254">
        <v>28</v>
      </c>
      <c r="AF39" s="242"/>
      <c r="AG39" s="243"/>
      <c r="AH39" s="243"/>
      <c r="AI39" s="243"/>
      <c r="AJ39" s="243"/>
      <c r="AK39" s="243"/>
      <c r="AL39" s="243"/>
      <c r="AM39" s="243"/>
      <c r="AN39" s="243"/>
      <c r="AO39" s="243"/>
      <c r="AP39" s="243"/>
      <c r="AQ39" s="243"/>
      <c r="AR39" s="256"/>
      <c r="AT39" s="254">
        <v>28</v>
      </c>
      <c r="AU39" s="242"/>
      <c r="AV39" s="243"/>
      <c r="AW39" s="243"/>
      <c r="AX39" s="243"/>
      <c r="AY39" s="243"/>
      <c r="AZ39" s="243"/>
      <c r="BA39" s="243"/>
      <c r="BB39" s="243"/>
      <c r="BC39" s="243"/>
      <c r="BD39" s="243"/>
      <c r="BE39" s="243"/>
      <c r="BF39" s="243"/>
      <c r="BG39" s="256"/>
    </row>
    <row r="40" spans="1:59">
      <c r="A40" s="254">
        <v>29</v>
      </c>
      <c r="B40" s="242"/>
      <c r="C40" s="243"/>
      <c r="D40" s="243"/>
      <c r="E40" s="243"/>
      <c r="F40" s="243"/>
      <c r="G40" s="243"/>
      <c r="H40" s="243"/>
      <c r="I40" s="243"/>
      <c r="J40" s="243"/>
      <c r="K40" s="243"/>
      <c r="L40" s="243"/>
      <c r="M40" s="243"/>
      <c r="N40" s="256"/>
      <c r="P40" s="254">
        <v>29</v>
      </c>
      <c r="Q40" s="242"/>
      <c r="R40" s="243"/>
      <c r="S40" s="243"/>
      <c r="T40" s="243"/>
      <c r="U40" s="243"/>
      <c r="V40" s="243"/>
      <c r="W40" s="243"/>
      <c r="X40" s="243"/>
      <c r="Y40" s="243"/>
      <c r="Z40" s="243"/>
      <c r="AA40" s="243"/>
      <c r="AB40" s="243"/>
      <c r="AC40" s="256"/>
      <c r="AE40" s="254">
        <v>29</v>
      </c>
      <c r="AF40" s="242"/>
      <c r="AG40" s="243"/>
      <c r="AH40" s="243"/>
      <c r="AI40" s="243"/>
      <c r="AJ40" s="243"/>
      <c r="AK40" s="243"/>
      <c r="AL40" s="243"/>
      <c r="AM40" s="243"/>
      <c r="AN40" s="243"/>
      <c r="AO40" s="243"/>
      <c r="AP40" s="243"/>
      <c r="AQ40" s="243"/>
      <c r="AR40" s="256"/>
      <c r="AT40" s="254">
        <v>29</v>
      </c>
      <c r="AU40" s="242"/>
      <c r="AV40" s="243"/>
      <c r="AW40" s="243"/>
      <c r="AX40" s="243"/>
      <c r="AY40" s="243"/>
      <c r="AZ40" s="243"/>
      <c r="BA40" s="243"/>
      <c r="BB40" s="243"/>
      <c r="BC40" s="243"/>
      <c r="BD40" s="243"/>
      <c r="BE40" s="243"/>
      <c r="BF40" s="243"/>
      <c r="BG40" s="256"/>
    </row>
    <row r="41" spans="1:59">
      <c r="A41" s="254">
        <v>30</v>
      </c>
      <c r="B41" s="242"/>
      <c r="C41" s="243"/>
      <c r="D41" s="243"/>
      <c r="E41" s="243"/>
      <c r="F41" s="243"/>
      <c r="G41" s="243"/>
      <c r="H41" s="243"/>
      <c r="I41" s="243"/>
      <c r="J41" s="243"/>
      <c r="K41" s="243"/>
      <c r="L41" s="243"/>
      <c r="M41" s="243"/>
      <c r="N41" s="256"/>
      <c r="P41" s="254">
        <v>30</v>
      </c>
      <c r="Q41" s="242"/>
      <c r="R41" s="243"/>
      <c r="S41" s="243"/>
      <c r="T41" s="243"/>
      <c r="U41" s="243"/>
      <c r="V41" s="243"/>
      <c r="W41" s="243"/>
      <c r="X41" s="243"/>
      <c r="Y41" s="243"/>
      <c r="Z41" s="243"/>
      <c r="AA41" s="243"/>
      <c r="AB41" s="243"/>
      <c r="AC41" s="256"/>
      <c r="AE41" s="254">
        <v>30</v>
      </c>
      <c r="AF41" s="242"/>
      <c r="AG41" s="243"/>
      <c r="AH41" s="243"/>
      <c r="AI41" s="243"/>
      <c r="AJ41" s="243"/>
      <c r="AK41" s="243"/>
      <c r="AL41" s="243"/>
      <c r="AM41" s="243"/>
      <c r="AN41" s="243"/>
      <c r="AO41" s="243"/>
      <c r="AP41" s="243"/>
      <c r="AQ41" s="243"/>
      <c r="AR41" s="256"/>
      <c r="AT41" s="254">
        <v>30</v>
      </c>
      <c r="AU41" s="242"/>
      <c r="AV41" s="243"/>
      <c r="AW41" s="243"/>
      <c r="AX41" s="243"/>
      <c r="AY41" s="243"/>
      <c r="AZ41" s="243"/>
      <c r="BA41" s="243"/>
      <c r="BB41" s="243"/>
      <c r="BC41" s="243"/>
      <c r="BD41" s="243"/>
      <c r="BE41" s="243"/>
      <c r="BF41" s="243"/>
      <c r="BG41" s="256"/>
    </row>
    <row r="42" spans="1:59">
      <c r="A42" s="254">
        <v>31</v>
      </c>
      <c r="B42" s="242"/>
      <c r="C42" s="243"/>
      <c r="D42" s="243"/>
      <c r="E42" s="243"/>
      <c r="F42" s="243"/>
      <c r="G42" s="243"/>
      <c r="H42" s="243"/>
      <c r="I42" s="243"/>
      <c r="J42" s="243"/>
      <c r="K42" s="243"/>
      <c r="L42" s="243"/>
      <c r="M42" s="243"/>
      <c r="N42" s="256"/>
      <c r="P42" s="254">
        <v>31</v>
      </c>
      <c r="Q42" s="242"/>
      <c r="R42" s="243"/>
      <c r="S42" s="243"/>
      <c r="T42" s="243"/>
      <c r="U42" s="243"/>
      <c r="V42" s="243"/>
      <c r="W42" s="243"/>
      <c r="X42" s="243"/>
      <c r="Y42" s="243"/>
      <c r="Z42" s="243"/>
      <c r="AA42" s="243"/>
      <c r="AB42" s="243"/>
      <c r="AC42" s="256"/>
      <c r="AE42" s="254">
        <v>31</v>
      </c>
      <c r="AF42" s="242"/>
      <c r="AG42" s="243"/>
      <c r="AH42" s="243"/>
      <c r="AI42" s="243"/>
      <c r="AJ42" s="243"/>
      <c r="AK42" s="243"/>
      <c r="AL42" s="243"/>
      <c r="AM42" s="243"/>
      <c r="AN42" s="243"/>
      <c r="AO42" s="243"/>
      <c r="AP42" s="243"/>
      <c r="AQ42" s="243"/>
      <c r="AR42" s="256"/>
      <c r="AT42" s="254">
        <v>31</v>
      </c>
      <c r="AU42" s="242"/>
      <c r="AV42" s="243"/>
      <c r="AW42" s="243"/>
      <c r="AX42" s="243"/>
      <c r="AY42" s="243"/>
      <c r="AZ42" s="243"/>
      <c r="BA42" s="243"/>
      <c r="BB42" s="243"/>
      <c r="BC42" s="243"/>
      <c r="BD42" s="243"/>
      <c r="BE42" s="243"/>
      <c r="BF42" s="243"/>
      <c r="BG42" s="256"/>
    </row>
    <row r="43" spans="1:59">
      <c r="A43" s="254">
        <v>32</v>
      </c>
      <c r="B43" s="242"/>
      <c r="C43" s="243"/>
      <c r="D43" s="243"/>
      <c r="E43" s="243"/>
      <c r="F43" s="243"/>
      <c r="G43" s="243"/>
      <c r="H43" s="243"/>
      <c r="I43" s="243"/>
      <c r="J43" s="243"/>
      <c r="K43" s="243"/>
      <c r="L43" s="243"/>
      <c r="M43" s="243"/>
      <c r="N43" s="256"/>
      <c r="P43" s="254">
        <v>32</v>
      </c>
      <c r="Q43" s="242"/>
      <c r="R43" s="243"/>
      <c r="S43" s="243"/>
      <c r="T43" s="243"/>
      <c r="U43" s="243"/>
      <c r="V43" s="243"/>
      <c r="W43" s="243"/>
      <c r="X43" s="243"/>
      <c r="Y43" s="243"/>
      <c r="Z43" s="243"/>
      <c r="AA43" s="243"/>
      <c r="AB43" s="243"/>
      <c r="AC43" s="256"/>
      <c r="AE43" s="254">
        <v>32</v>
      </c>
      <c r="AF43" s="242"/>
      <c r="AG43" s="243"/>
      <c r="AH43" s="243"/>
      <c r="AI43" s="243"/>
      <c r="AJ43" s="243"/>
      <c r="AK43" s="243"/>
      <c r="AL43" s="243"/>
      <c r="AM43" s="243"/>
      <c r="AN43" s="243"/>
      <c r="AO43" s="243"/>
      <c r="AP43" s="243"/>
      <c r="AQ43" s="243"/>
      <c r="AR43" s="256"/>
      <c r="AT43" s="254">
        <v>32</v>
      </c>
      <c r="AU43" s="242"/>
      <c r="AV43" s="243"/>
      <c r="AW43" s="243"/>
      <c r="AX43" s="243"/>
      <c r="AY43" s="243"/>
      <c r="AZ43" s="243"/>
      <c r="BA43" s="243"/>
      <c r="BB43" s="243"/>
      <c r="BC43" s="243"/>
      <c r="BD43" s="243"/>
      <c r="BE43" s="243"/>
      <c r="BF43" s="243"/>
      <c r="BG43" s="256"/>
    </row>
    <row r="44" spans="1:59">
      <c r="A44" s="254">
        <v>33</v>
      </c>
      <c r="B44" s="242"/>
      <c r="C44" s="243"/>
      <c r="D44" s="243"/>
      <c r="E44" s="243"/>
      <c r="F44" s="243"/>
      <c r="G44" s="243"/>
      <c r="H44" s="243"/>
      <c r="I44" s="243"/>
      <c r="J44" s="243"/>
      <c r="K44" s="243"/>
      <c r="L44" s="243"/>
      <c r="M44" s="243"/>
      <c r="N44" s="256"/>
      <c r="P44" s="254">
        <v>33</v>
      </c>
      <c r="Q44" s="242"/>
      <c r="R44" s="243"/>
      <c r="S44" s="243"/>
      <c r="T44" s="243"/>
      <c r="U44" s="243"/>
      <c r="V44" s="243"/>
      <c r="W44" s="243"/>
      <c r="X44" s="243"/>
      <c r="Y44" s="243"/>
      <c r="Z44" s="243"/>
      <c r="AA44" s="243"/>
      <c r="AB44" s="243"/>
      <c r="AC44" s="256"/>
      <c r="AE44" s="254">
        <v>33</v>
      </c>
      <c r="AF44" s="242"/>
      <c r="AG44" s="243"/>
      <c r="AH44" s="243"/>
      <c r="AI44" s="243"/>
      <c r="AJ44" s="243"/>
      <c r="AK44" s="243"/>
      <c r="AL44" s="243"/>
      <c r="AM44" s="243"/>
      <c r="AN44" s="243"/>
      <c r="AO44" s="243"/>
      <c r="AP44" s="243"/>
      <c r="AQ44" s="243"/>
      <c r="AR44" s="256"/>
      <c r="AT44" s="254">
        <v>33</v>
      </c>
      <c r="AU44" s="242"/>
      <c r="AV44" s="243"/>
      <c r="AW44" s="243"/>
      <c r="AX44" s="243"/>
      <c r="AY44" s="243"/>
      <c r="AZ44" s="243"/>
      <c r="BA44" s="243"/>
      <c r="BB44" s="243"/>
      <c r="BC44" s="243"/>
      <c r="BD44" s="243"/>
      <c r="BE44" s="243"/>
      <c r="BF44" s="243"/>
      <c r="BG44" s="256"/>
    </row>
    <row r="45" spans="1:59">
      <c r="A45" s="254">
        <v>34</v>
      </c>
      <c r="B45" s="242"/>
      <c r="C45" s="243"/>
      <c r="D45" s="243"/>
      <c r="E45" s="243"/>
      <c r="F45" s="243"/>
      <c r="G45" s="243"/>
      <c r="H45" s="243"/>
      <c r="I45" s="243"/>
      <c r="J45" s="243"/>
      <c r="K45" s="243"/>
      <c r="L45" s="243"/>
      <c r="M45" s="243"/>
      <c r="N45" s="256"/>
      <c r="P45" s="254">
        <v>34</v>
      </c>
      <c r="Q45" s="242"/>
      <c r="R45" s="243"/>
      <c r="S45" s="243"/>
      <c r="T45" s="243"/>
      <c r="U45" s="243"/>
      <c r="V45" s="243"/>
      <c r="W45" s="243"/>
      <c r="X45" s="243"/>
      <c r="Y45" s="243"/>
      <c r="Z45" s="243"/>
      <c r="AA45" s="243"/>
      <c r="AB45" s="243"/>
      <c r="AC45" s="256"/>
      <c r="AE45" s="254">
        <v>34</v>
      </c>
      <c r="AF45" s="242"/>
      <c r="AG45" s="243"/>
      <c r="AH45" s="243"/>
      <c r="AI45" s="243"/>
      <c r="AJ45" s="243"/>
      <c r="AK45" s="243"/>
      <c r="AL45" s="243"/>
      <c r="AM45" s="243"/>
      <c r="AN45" s="243"/>
      <c r="AO45" s="243"/>
      <c r="AP45" s="243"/>
      <c r="AQ45" s="243"/>
      <c r="AR45" s="256"/>
      <c r="AT45" s="254">
        <v>34</v>
      </c>
      <c r="AU45" s="242"/>
      <c r="AV45" s="243"/>
      <c r="AW45" s="243"/>
      <c r="AX45" s="243"/>
      <c r="AY45" s="243"/>
      <c r="AZ45" s="243"/>
      <c r="BA45" s="243"/>
      <c r="BB45" s="243"/>
      <c r="BC45" s="243"/>
      <c r="BD45" s="243"/>
      <c r="BE45" s="243"/>
      <c r="BF45" s="243"/>
      <c r="BG45" s="256"/>
    </row>
    <row r="46" spans="1:59">
      <c r="A46" s="254">
        <v>35</v>
      </c>
      <c r="B46" s="242"/>
      <c r="C46" s="243"/>
      <c r="D46" s="243"/>
      <c r="E46" s="243"/>
      <c r="F46" s="243"/>
      <c r="G46" s="243"/>
      <c r="H46" s="243"/>
      <c r="I46" s="243"/>
      <c r="J46" s="243"/>
      <c r="K46" s="243"/>
      <c r="L46" s="243"/>
      <c r="M46" s="243"/>
      <c r="N46" s="256"/>
      <c r="P46" s="254">
        <v>35</v>
      </c>
      <c r="Q46" s="242"/>
      <c r="R46" s="243"/>
      <c r="S46" s="243"/>
      <c r="T46" s="243"/>
      <c r="U46" s="243"/>
      <c r="V46" s="243"/>
      <c r="W46" s="243"/>
      <c r="X46" s="243"/>
      <c r="Y46" s="243"/>
      <c r="Z46" s="243"/>
      <c r="AA46" s="243"/>
      <c r="AB46" s="243"/>
      <c r="AC46" s="256"/>
      <c r="AE46" s="254">
        <v>35</v>
      </c>
      <c r="AF46" s="242"/>
      <c r="AG46" s="243"/>
      <c r="AH46" s="243"/>
      <c r="AI46" s="243"/>
      <c r="AJ46" s="243"/>
      <c r="AK46" s="243"/>
      <c r="AL46" s="243"/>
      <c r="AM46" s="243"/>
      <c r="AN46" s="243"/>
      <c r="AO46" s="243"/>
      <c r="AP46" s="243"/>
      <c r="AQ46" s="243"/>
      <c r="AR46" s="256"/>
      <c r="AT46" s="254">
        <v>35</v>
      </c>
      <c r="AU46" s="242"/>
      <c r="AV46" s="243"/>
      <c r="AW46" s="243"/>
      <c r="AX46" s="243"/>
      <c r="AY46" s="243"/>
      <c r="AZ46" s="243"/>
      <c r="BA46" s="243"/>
      <c r="BB46" s="243"/>
      <c r="BC46" s="243"/>
      <c r="BD46" s="243"/>
      <c r="BE46" s="243"/>
      <c r="BF46" s="243"/>
      <c r="BG46" s="256"/>
    </row>
    <row r="47" spans="1:59">
      <c r="A47" s="254">
        <v>36</v>
      </c>
      <c r="B47" s="242"/>
      <c r="C47" s="243"/>
      <c r="D47" s="243"/>
      <c r="E47" s="243"/>
      <c r="F47" s="243"/>
      <c r="G47" s="243"/>
      <c r="H47" s="243"/>
      <c r="I47" s="243"/>
      <c r="J47" s="243"/>
      <c r="K47" s="243"/>
      <c r="L47" s="243"/>
      <c r="M47" s="243"/>
      <c r="N47" s="256"/>
      <c r="P47" s="254">
        <v>36</v>
      </c>
      <c r="Q47" s="242"/>
      <c r="R47" s="243"/>
      <c r="S47" s="243"/>
      <c r="T47" s="243"/>
      <c r="U47" s="243"/>
      <c r="V47" s="243"/>
      <c r="W47" s="243"/>
      <c r="X47" s="243"/>
      <c r="Y47" s="243"/>
      <c r="Z47" s="243"/>
      <c r="AA47" s="243"/>
      <c r="AB47" s="243"/>
      <c r="AC47" s="256"/>
      <c r="AE47" s="254">
        <v>36</v>
      </c>
      <c r="AF47" s="242"/>
      <c r="AG47" s="243"/>
      <c r="AH47" s="243"/>
      <c r="AI47" s="243"/>
      <c r="AJ47" s="243"/>
      <c r="AK47" s="243"/>
      <c r="AL47" s="243"/>
      <c r="AM47" s="243"/>
      <c r="AN47" s="243"/>
      <c r="AO47" s="243"/>
      <c r="AP47" s="243"/>
      <c r="AQ47" s="243"/>
      <c r="AR47" s="256"/>
      <c r="AT47" s="254">
        <v>36</v>
      </c>
      <c r="AU47" s="242"/>
      <c r="AV47" s="243"/>
      <c r="AW47" s="243"/>
      <c r="AX47" s="243"/>
      <c r="AY47" s="243"/>
      <c r="AZ47" s="243"/>
      <c r="BA47" s="243"/>
      <c r="BB47" s="243"/>
      <c r="BC47" s="243"/>
      <c r="BD47" s="243"/>
      <c r="BE47" s="243"/>
      <c r="BF47" s="243"/>
      <c r="BG47" s="256"/>
    </row>
    <row r="48" spans="1:59">
      <c r="A48" s="254">
        <v>37</v>
      </c>
      <c r="B48" s="242"/>
      <c r="C48" s="243"/>
      <c r="D48" s="243"/>
      <c r="E48" s="243"/>
      <c r="F48" s="243"/>
      <c r="G48" s="243"/>
      <c r="H48" s="243"/>
      <c r="I48" s="243"/>
      <c r="J48" s="243"/>
      <c r="K48" s="243"/>
      <c r="L48" s="243"/>
      <c r="M48" s="243"/>
      <c r="N48" s="256"/>
      <c r="P48" s="254">
        <v>37</v>
      </c>
      <c r="Q48" s="242"/>
      <c r="R48" s="243"/>
      <c r="S48" s="243"/>
      <c r="T48" s="243"/>
      <c r="U48" s="243"/>
      <c r="V48" s="243"/>
      <c r="W48" s="243"/>
      <c r="X48" s="243"/>
      <c r="Y48" s="243"/>
      <c r="Z48" s="243"/>
      <c r="AA48" s="243"/>
      <c r="AB48" s="243"/>
      <c r="AC48" s="256"/>
      <c r="AE48" s="254">
        <v>37</v>
      </c>
      <c r="AF48" s="242"/>
      <c r="AG48" s="243"/>
      <c r="AH48" s="243"/>
      <c r="AI48" s="243"/>
      <c r="AJ48" s="243"/>
      <c r="AK48" s="243"/>
      <c r="AL48" s="243"/>
      <c r="AM48" s="243"/>
      <c r="AN48" s="243"/>
      <c r="AO48" s="243"/>
      <c r="AP48" s="243"/>
      <c r="AQ48" s="243"/>
      <c r="AR48" s="256"/>
      <c r="AT48" s="254">
        <v>37</v>
      </c>
      <c r="AU48" s="242"/>
      <c r="AV48" s="243"/>
      <c r="AW48" s="243"/>
      <c r="AX48" s="243"/>
      <c r="AY48" s="243"/>
      <c r="AZ48" s="243"/>
      <c r="BA48" s="243"/>
      <c r="BB48" s="243"/>
      <c r="BC48" s="243"/>
      <c r="BD48" s="243"/>
      <c r="BE48" s="243"/>
      <c r="BF48" s="243"/>
      <c r="BG48" s="256"/>
    </row>
    <row r="49" spans="1:59">
      <c r="A49" s="254">
        <v>38</v>
      </c>
      <c r="B49" s="242"/>
      <c r="C49" s="243"/>
      <c r="D49" s="243"/>
      <c r="E49" s="243"/>
      <c r="F49" s="243"/>
      <c r="G49" s="243"/>
      <c r="H49" s="243"/>
      <c r="I49" s="243"/>
      <c r="J49" s="243"/>
      <c r="K49" s="243"/>
      <c r="L49" s="243"/>
      <c r="M49" s="243"/>
      <c r="N49" s="256"/>
      <c r="P49" s="254">
        <v>38</v>
      </c>
      <c r="Q49" s="242"/>
      <c r="R49" s="243"/>
      <c r="S49" s="243"/>
      <c r="T49" s="243"/>
      <c r="U49" s="243"/>
      <c r="V49" s="243"/>
      <c r="W49" s="243"/>
      <c r="X49" s="243"/>
      <c r="Y49" s="243"/>
      <c r="Z49" s="243"/>
      <c r="AA49" s="243"/>
      <c r="AB49" s="243"/>
      <c r="AC49" s="256"/>
      <c r="AE49" s="254">
        <v>38</v>
      </c>
      <c r="AF49" s="242"/>
      <c r="AG49" s="243"/>
      <c r="AH49" s="243"/>
      <c r="AI49" s="243"/>
      <c r="AJ49" s="243"/>
      <c r="AK49" s="243"/>
      <c r="AL49" s="243"/>
      <c r="AM49" s="243"/>
      <c r="AN49" s="243"/>
      <c r="AO49" s="243"/>
      <c r="AP49" s="243"/>
      <c r="AQ49" s="243"/>
      <c r="AR49" s="256"/>
      <c r="AT49" s="254">
        <v>38</v>
      </c>
      <c r="AU49" s="242"/>
      <c r="AV49" s="243"/>
      <c r="AW49" s="243"/>
      <c r="AX49" s="243"/>
      <c r="AY49" s="243"/>
      <c r="AZ49" s="243"/>
      <c r="BA49" s="243"/>
      <c r="BB49" s="243"/>
      <c r="BC49" s="243"/>
      <c r="BD49" s="243"/>
      <c r="BE49" s="243"/>
      <c r="BF49" s="243"/>
      <c r="BG49" s="256"/>
    </row>
    <row r="50" spans="1:59">
      <c r="A50" s="254">
        <v>39</v>
      </c>
      <c r="B50" s="242"/>
      <c r="C50" s="243"/>
      <c r="D50" s="243"/>
      <c r="E50" s="243"/>
      <c r="F50" s="243"/>
      <c r="G50" s="243"/>
      <c r="H50" s="243"/>
      <c r="I50" s="243"/>
      <c r="J50" s="243"/>
      <c r="K50" s="243"/>
      <c r="L50" s="243"/>
      <c r="M50" s="243"/>
      <c r="N50" s="256"/>
      <c r="P50" s="254">
        <v>39</v>
      </c>
      <c r="Q50" s="242"/>
      <c r="R50" s="243"/>
      <c r="S50" s="243"/>
      <c r="T50" s="243"/>
      <c r="U50" s="243"/>
      <c r="V50" s="243"/>
      <c r="W50" s="243"/>
      <c r="X50" s="243"/>
      <c r="Y50" s="243"/>
      <c r="Z50" s="243"/>
      <c r="AA50" s="243"/>
      <c r="AB50" s="243"/>
      <c r="AC50" s="256"/>
      <c r="AE50" s="254">
        <v>39</v>
      </c>
      <c r="AF50" s="242"/>
      <c r="AG50" s="243"/>
      <c r="AH50" s="243"/>
      <c r="AI50" s="243"/>
      <c r="AJ50" s="243"/>
      <c r="AK50" s="243"/>
      <c r="AL50" s="243"/>
      <c r="AM50" s="243"/>
      <c r="AN50" s="243"/>
      <c r="AO50" s="243"/>
      <c r="AP50" s="243"/>
      <c r="AQ50" s="243"/>
      <c r="AR50" s="256"/>
      <c r="AT50" s="254">
        <v>39</v>
      </c>
      <c r="AU50" s="242"/>
      <c r="AV50" s="243"/>
      <c r="AW50" s="243"/>
      <c r="AX50" s="243"/>
      <c r="AY50" s="243"/>
      <c r="AZ50" s="243"/>
      <c r="BA50" s="243"/>
      <c r="BB50" s="243"/>
      <c r="BC50" s="243"/>
      <c r="BD50" s="243"/>
      <c r="BE50" s="243"/>
      <c r="BF50" s="243"/>
      <c r="BG50" s="256"/>
    </row>
    <row r="51" spans="1:59">
      <c r="A51" s="254">
        <v>40</v>
      </c>
      <c r="B51" s="242"/>
      <c r="C51" s="243"/>
      <c r="D51" s="243"/>
      <c r="E51" s="243"/>
      <c r="F51" s="243"/>
      <c r="G51" s="243"/>
      <c r="H51" s="243"/>
      <c r="I51" s="243"/>
      <c r="J51" s="243"/>
      <c r="K51" s="243"/>
      <c r="L51" s="243"/>
      <c r="M51" s="243"/>
      <c r="N51" s="256"/>
      <c r="P51" s="254">
        <v>40</v>
      </c>
      <c r="Q51" s="242"/>
      <c r="R51" s="243"/>
      <c r="S51" s="243"/>
      <c r="T51" s="243"/>
      <c r="U51" s="243"/>
      <c r="V51" s="243"/>
      <c r="W51" s="243"/>
      <c r="X51" s="243"/>
      <c r="Y51" s="243"/>
      <c r="Z51" s="243"/>
      <c r="AA51" s="243"/>
      <c r="AB51" s="243"/>
      <c r="AC51" s="256"/>
      <c r="AE51" s="254">
        <v>40</v>
      </c>
      <c r="AF51" s="242"/>
      <c r="AG51" s="243"/>
      <c r="AH51" s="243"/>
      <c r="AI51" s="243"/>
      <c r="AJ51" s="243"/>
      <c r="AK51" s="243"/>
      <c r="AL51" s="243"/>
      <c r="AM51" s="243"/>
      <c r="AN51" s="243"/>
      <c r="AO51" s="243"/>
      <c r="AP51" s="243"/>
      <c r="AQ51" s="243"/>
      <c r="AR51" s="256"/>
      <c r="AT51" s="254">
        <v>40</v>
      </c>
      <c r="AU51" s="242"/>
      <c r="AV51" s="243"/>
      <c r="AW51" s="243"/>
      <c r="AX51" s="243"/>
      <c r="AY51" s="243"/>
      <c r="AZ51" s="243"/>
      <c r="BA51" s="243"/>
      <c r="BB51" s="243"/>
      <c r="BC51" s="243"/>
      <c r="BD51" s="243"/>
      <c r="BE51" s="243"/>
      <c r="BF51" s="243"/>
      <c r="BG51" s="256"/>
    </row>
    <row r="52" spans="1:59">
      <c r="A52" s="254">
        <v>41</v>
      </c>
      <c r="B52" s="242"/>
      <c r="C52" s="243"/>
      <c r="D52" s="243"/>
      <c r="E52" s="243"/>
      <c r="F52" s="243"/>
      <c r="G52" s="243"/>
      <c r="H52" s="243"/>
      <c r="I52" s="243"/>
      <c r="J52" s="243"/>
      <c r="K52" s="243"/>
      <c r="L52" s="243"/>
      <c r="M52" s="243"/>
      <c r="N52" s="256"/>
      <c r="P52" s="254">
        <v>41</v>
      </c>
      <c r="Q52" s="242"/>
      <c r="R52" s="243"/>
      <c r="S52" s="243"/>
      <c r="T52" s="243"/>
      <c r="U52" s="243"/>
      <c r="V52" s="243"/>
      <c r="W52" s="243"/>
      <c r="X52" s="243"/>
      <c r="Y52" s="243"/>
      <c r="Z52" s="243"/>
      <c r="AA52" s="243"/>
      <c r="AB52" s="243"/>
      <c r="AC52" s="256"/>
      <c r="AE52" s="254">
        <v>41</v>
      </c>
      <c r="AF52" s="242"/>
      <c r="AG52" s="243"/>
      <c r="AH52" s="243"/>
      <c r="AI52" s="243"/>
      <c r="AJ52" s="243"/>
      <c r="AK52" s="243"/>
      <c r="AL52" s="243"/>
      <c r="AM52" s="243"/>
      <c r="AN52" s="243"/>
      <c r="AO52" s="243"/>
      <c r="AP52" s="243"/>
      <c r="AQ52" s="243"/>
      <c r="AR52" s="256"/>
      <c r="AT52" s="254">
        <v>41</v>
      </c>
      <c r="AU52" s="242"/>
      <c r="AV52" s="243"/>
      <c r="AW52" s="243"/>
      <c r="AX52" s="243"/>
      <c r="AY52" s="243"/>
      <c r="AZ52" s="243"/>
      <c r="BA52" s="243"/>
      <c r="BB52" s="243"/>
      <c r="BC52" s="243"/>
      <c r="BD52" s="243"/>
      <c r="BE52" s="243"/>
      <c r="BF52" s="243"/>
      <c r="BG52" s="256"/>
    </row>
    <row r="53" spans="1:59">
      <c r="A53" s="254">
        <v>42</v>
      </c>
      <c r="B53" s="242"/>
      <c r="C53" s="243"/>
      <c r="D53" s="243"/>
      <c r="E53" s="243"/>
      <c r="F53" s="243"/>
      <c r="G53" s="243"/>
      <c r="H53" s="243"/>
      <c r="I53" s="243"/>
      <c r="J53" s="243"/>
      <c r="K53" s="243"/>
      <c r="L53" s="243"/>
      <c r="M53" s="243"/>
      <c r="N53" s="256"/>
      <c r="P53" s="254">
        <v>42</v>
      </c>
      <c r="Q53" s="242"/>
      <c r="R53" s="243"/>
      <c r="S53" s="243"/>
      <c r="T53" s="243"/>
      <c r="U53" s="243"/>
      <c r="V53" s="243"/>
      <c r="W53" s="243"/>
      <c r="X53" s="243"/>
      <c r="Y53" s="243"/>
      <c r="Z53" s="243"/>
      <c r="AA53" s="243"/>
      <c r="AB53" s="243"/>
      <c r="AC53" s="256"/>
      <c r="AE53" s="254">
        <v>42</v>
      </c>
      <c r="AF53" s="242"/>
      <c r="AG53" s="243"/>
      <c r="AH53" s="243"/>
      <c r="AI53" s="243"/>
      <c r="AJ53" s="243"/>
      <c r="AK53" s="243"/>
      <c r="AL53" s="243"/>
      <c r="AM53" s="243"/>
      <c r="AN53" s="243"/>
      <c r="AO53" s="243"/>
      <c r="AP53" s="243"/>
      <c r="AQ53" s="243"/>
      <c r="AR53" s="256"/>
      <c r="AT53" s="254">
        <v>42</v>
      </c>
      <c r="AU53" s="242"/>
      <c r="AV53" s="243"/>
      <c r="AW53" s="243"/>
      <c r="AX53" s="243"/>
      <c r="AY53" s="243"/>
      <c r="AZ53" s="243"/>
      <c r="BA53" s="243"/>
      <c r="BB53" s="243"/>
      <c r="BC53" s="243"/>
      <c r="BD53" s="243"/>
      <c r="BE53" s="243"/>
      <c r="BF53" s="243"/>
      <c r="BG53" s="256"/>
    </row>
    <row r="54" spans="1:59">
      <c r="A54" s="254">
        <v>43</v>
      </c>
      <c r="B54" s="242"/>
      <c r="C54" s="243"/>
      <c r="D54" s="243"/>
      <c r="E54" s="243"/>
      <c r="F54" s="243"/>
      <c r="G54" s="243"/>
      <c r="H54" s="243"/>
      <c r="I54" s="243"/>
      <c r="J54" s="243"/>
      <c r="K54" s="243"/>
      <c r="L54" s="243"/>
      <c r="M54" s="243"/>
      <c r="N54" s="256"/>
      <c r="P54" s="254">
        <v>43</v>
      </c>
      <c r="Q54" s="242"/>
      <c r="R54" s="243"/>
      <c r="S54" s="243"/>
      <c r="T54" s="243"/>
      <c r="U54" s="243"/>
      <c r="V54" s="243"/>
      <c r="W54" s="243"/>
      <c r="X54" s="243"/>
      <c r="Y54" s="243"/>
      <c r="Z54" s="243"/>
      <c r="AA54" s="243"/>
      <c r="AB54" s="243"/>
      <c r="AC54" s="256"/>
      <c r="AE54" s="254">
        <v>43</v>
      </c>
      <c r="AF54" s="242"/>
      <c r="AG54" s="243"/>
      <c r="AH54" s="243"/>
      <c r="AI54" s="243"/>
      <c r="AJ54" s="243"/>
      <c r="AK54" s="243"/>
      <c r="AL54" s="243"/>
      <c r="AM54" s="243"/>
      <c r="AN54" s="243"/>
      <c r="AO54" s="243"/>
      <c r="AP54" s="243"/>
      <c r="AQ54" s="243"/>
      <c r="AR54" s="256"/>
      <c r="AT54" s="254">
        <v>43</v>
      </c>
      <c r="AU54" s="242"/>
      <c r="AV54" s="243"/>
      <c r="AW54" s="243"/>
      <c r="AX54" s="243"/>
      <c r="AY54" s="243"/>
      <c r="AZ54" s="243"/>
      <c r="BA54" s="243"/>
      <c r="BB54" s="243"/>
      <c r="BC54" s="243"/>
      <c r="BD54" s="243"/>
      <c r="BE54" s="243"/>
      <c r="BF54" s="243"/>
      <c r="BG54" s="256"/>
    </row>
    <row r="55" spans="1:59">
      <c r="A55" s="254">
        <v>44</v>
      </c>
      <c r="B55" s="242"/>
      <c r="C55" s="243"/>
      <c r="D55" s="243"/>
      <c r="E55" s="243"/>
      <c r="F55" s="243"/>
      <c r="G55" s="243"/>
      <c r="H55" s="243"/>
      <c r="I55" s="243"/>
      <c r="J55" s="243"/>
      <c r="K55" s="243"/>
      <c r="L55" s="243"/>
      <c r="M55" s="243"/>
      <c r="N55" s="256"/>
      <c r="P55" s="254">
        <v>44</v>
      </c>
      <c r="Q55" s="242"/>
      <c r="R55" s="243"/>
      <c r="S55" s="243"/>
      <c r="T55" s="243"/>
      <c r="U55" s="243"/>
      <c r="V55" s="243"/>
      <c r="W55" s="243"/>
      <c r="X55" s="243"/>
      <c r="Y55" s="243"/>
      <c r="Z55" s="243"/>
      <c r="AA55" s="243"/>
      <c r="AB55" s="243"/>
      <c r="AC55" s="256"/>
      <c r="AE55" s="254">
        <v>44</v>
      </c>
      <c r="AF55" s="242"/>
      <c r="AG55" s="243"/>
      <c r="AH55" s="243"/>
      <c r="AI55" s="243"/>
      <c r="AJ55" s="243"/>
      <c r="AK55" s="243"/>
      <c r="AL55" s="243"/>
      <c r="AM55" s="243"/>
      <c r="AN55" s="243"/>
      <c r="AO55" s="243"/>
      <c r="AP55" s="243"/>
      <c r="AQ55" s="243"/>
      <c r="AR55" s="256"/>
      <c r="AT55" s="254">
        <v>44</v>
      </c>
      <c r="AU55" s="242"/>
      <c r="AV55" s="243"/>
      <c r="AW55" s="243"/>
      <c r="AX55" s="243"/>
      <c r="AY55" s="243"/>
      <c r="AZ55" s="243"/>
      <c r="BA55" s="243"/>
      <c r="BB55" s="243"/>
      <c r="BC55" s="243"/>
      <c r="BD55" s="243"/>
      <c r="BE55" s="243"/>
      <c r="BF55" s="243"/>
      <c r="BG55" s="256"/>
    </row>
    <row r="56" spans="1:59">
      <c r="A56" s="254">
        <v>45</v>
      </c>
      <c r="B56" s="242"/>
      <c r="C56" s="243"/>
      <c r="D56" s="243"/>
      <c r="E56" s="243"/>
      <c r="F56" s="243"/>
      <c r="G56" s="243"/>
      <c r="H56" s="243"/>
      <c r="I56" s="243"/>
      <c r="J56" s="243"/>
      <c r="K56" s="243"/>
      <c r="L56" s="243"/>
      <c r="M56" s="243"/>
      <c r="N56" s="256"/>
      <c r="P56" s="254">
        <v>45</v>
      </c>
      <c r="Q56" s="242"/>
      <c r="R56" s="243"/>
      <c r="S56" s="243"/>
      <c r="T56" s="243"/>
      <c r="U56" s="243"/>
      <c r="V56" s="243"/>
      <c r="W56" s="243"/>
      <c r="X56" s="243"/>
      <c r="Y56" s="243"/>
      <c r="Z56" s="243"/>
      <c r="AA56" s="243"/>
      <c r="AB56" s="243"/>
      <c r="AC56" s="256"/>
      <c r="AE56" s="254">
        <v>45</v>
      </c>
      <c r="AF56" s="242"/>
      <c r="AG56" s="243"/>
      <c r="AH56" s="243"/>
      <c r="AI56" s="243"/>
      <c r="AJ56" s="243"/>
      <c r="AK56" s="243"/>
      <c r="AL56" s="243"/>
      <c r="AM56" s="243"/>
      <c r="AN56" s="243"/>
      <c r="AO56" s="243"/>
      <c r="AP56" s="243"/>
      <c r="AQ56" s="243"/>
      <c r="AR56" s="256"/>
      <c r="AT56" s="254">
        <v>45</v>
      </c>
      <c r="AU56" s="242"/>
      <c r="AV56" s="243"/>
      <c r="AW56" s="243"/>
      <c r="AX56" s="243"/>
      <c r="AY56" s="243"/>
      <c r="AZ56" s="243"/>
      <c r="BA56" s="243"/>
      <c r="BB56" s="243"/>
      <c r="BC56" s="243"/>
      <c r="BD56" s="243"/>
      <c r="BE56" s="243"/>
      <c r="BF56" s="243"/>
      <c r="BG56" s="256"/>
    </row>
    <row r="57" spans="1:59">
      <c r="A57" s="254">
        <v>46</v>
      </c>
      <c r="B57" s="242"/>
      <c r="C57" s="243"/>
      <c r="D57" s="243"/>
      <c r="E57" s="243"/>
      <c r="F57" s="243"/>
      <c r="G57" s="243"/>
      <c r="H57" s="243"/>
      <c r="I57" s="243"/>
      <c r="J57" s="243"/>
      <c r="K57" s="243"/>
      <c r="L57" s="243"/>
      <c r="M57" s="243"/>
      <c r="N57" s="256"/>
      <c r="P57" s="254">
        <v>46</v>
      </c>
      <c r="Q57" s="242"/>
      <c r="R57" s="243"/>
      <c r="S57" s="243"/>
      <c r="T57" s="243"/>
      <c r="U57" s="243"/>
      <c r="V57" s="243"/>
      <c r="W57" s="243"/>
      <c r="X57" s="243"/>
      <c r="Y57" s="243"/>
      <c r="Z57" s="243"/>
      <c r="AA57" s="243"/>
      <c r="AB57" s="243"/>
      <c r="AC57" s="256"/>
      <c r="AE57" s="254">
        <v>46</v>
      </c>
      <c r="AF57" s="242"/>
      <c r="AG57" s="243"/>
      <c r="AH57" s="243"/>
      <c r="AI57" s="243"/>
      <c r="AJ57" s="243"/>
      <c r="AK57" s="243"/>
      <c r="AL57" s="243"/>
      <c r="AM57" s="243"/>
      <c r="AN57" s="243"/>
      <c r="AO57" s="243"/>
      <c r="AP57" s="243"/>
      <c r="AQ57" s="243"/>
      <c r="AR57" s="256"/>
      <c r="AT57" s="254">
        <v>46</v>
      </c>
      <c r="AU57" s="242"/>
      <c r="AV57" s="243"/>
      <c r="AW57" s="243"/>
      <c r="AX57" s="243"/>
      <c r="AY57" s="243"/>
      <c r="AZ57" s="243"/>
      <c r="BA57" s="243"/>
      <c r="BB57" s="243"/>
      <c r="BC57" s="243"/>
      <c r="BD57" s="243"/>
      <c r="BE57" s="243"/>
      <c r="BF57" s="243"/>
      <c r="BG57" s="256"/>
    </row>
    <row r="58" spans="1:59">
      <c r="A58" s="254">
        <v>47</v>
      </c>
      <c r="B58" s="242"/>
      <c r="C58" s="243"/>
      <c r="D58" s="243"/>
      <c r="E58" s="243"/>
      <c r="F58" s="243"/>
      <c r="G58" s="243"/>
      <c r="H58" s="243"/>
      <c r="I58" s="243"/>
      <c r="J58" s="243"/>
      <c r="K58" s="243"/>
      <c r="L58" s="243"/>
      <c r="M58" s="243"/>
      <c r="N58" s="256"/>
      <c r="P58" s="254">
        <v>47</v>
      </c>
      <c r="Q58" s="242"/>
      <c r="R58" s="243"/>
      <c r="S58" s="243"/>
      <c r="T58" s="243"/>
      <c r="U58" s="243"/>
      <c r="V58" s="243"/>
      <c r="W58" s="243"/>
      <c r="X58" s="243"/>
      <c r="Y58" s="243"/>
      <c r="Z58" s="243"/>
      <c r="AA58" s="243"/>
      <c r="AB58" s="243"/>
      <c r="AC58" s="256"/>
      <c r="AE58" s="254">
        <v>47</v>
      </c>
      <c r="AF58" s="242"/>
      <c r="AG58" s="243"/>
      <c r="AH58" s="243"/>
      <c r="AI58" s="243"/>
      <c r="AJ58" s="243"/>
      <c r="AK58" s="243"/>
      <c r="AL58" s="243"/>
      <c r="AM58" s="243"/>
      <c r="AN58" s="243"/>
      <c r="AO58" s="243"/>
      <c r="AP58" s="243"/>
      <c r="AQ58" s="243"/>
      <c r="AR58" s="256"/>
      <c r="AT58" s="254">
        <v>47</v>
      </c>
      <c r="AU58" s="242"/>
      <c r="AV58" s="243"/>
      <c r="AW58" s="243"/>
      <c r="AX58" s="243"/>
      <c r="AY58" s="243"/>
      <c r="AZ58" s="243"/>
      <c r="BA58" s="243"/>
      <c r="BB58" s="243"/>
      <c r="BC58" s="243"/>
      <c r="BD58" s="243"/>
      <c r="BE58" s="243"/>
      <c r="BF58" s="243"/>
      <c r="BG58" s="256"/>
    </row>
    <row r="59" spans="1:59">
      <c r="A59" s="254">
        <v>48</v>
      </c>
      <c r="B59" s="242"/>
      <c r="C59" s="243"/>
      <c r="D59" s="243"/>
      <c r="E59" s="243"/>
      <c r="F59" s="243"/>
      <c r="G59" s="243"/>
      <c r="H59" s="243"/>
      <c r="I59" s="243"/>
      <c r="J59" s="243"/>
      <c r="K59" s="243"/>
      <c r="L59" s="243"/>
      <c r="M59" s="243"/>
      <c r="N59" s="256"/>
      <c r="P59" s="254">
        <v>48</v>
      </c>
      <c r="Q59" s="242"/>
      <c r="R59" s="243"/>
      <c r="S59" s="243"/>
      <c r="T59" s="243"/>
      <c r="U59" s="243"/>
      <c r="V59" s="243"/>
      <c r="W59" s="243"/>
      <c r="X59" s="243"/>
      <c r="Y59" s="243"/>
      <c r="Z59" s="243"/>
      <c r="AA59" s="243"/>
      <c r="AB59" s="243"/>
      <c r="AC59" s="256"/>
      <c r="AE59" s="254">
        <v>48</v>
      </c>
      <c r="AF59" s="242"/>
      <c r="AG59" s="243"/>
      <c r="AH59" s="243"/>
      <c r="AI59" s="243"/>
      <c r="AJ59" s="243"/>
      <c r="AK59" s="243"/>
      <c r="AL59" s="243"/>
      <c r="AM59" s="243"/>
      <c r="AN59" s="243"/>
      <c r="AO59" s="243"/>
      <c r="AP59" s="243"/>
      <c r="AQ59" s="243"/>
      <c r="AR59" s="256"/>
      <c r="AT59" s="254">
        <v>48</v>
      </c>
      <c r="AU59" s="242"/>
      <c r="AV59" s="243"/>
      <c r="AW59" s="243"/>
      <c r="AX59" s="243"/>
      <c r="AY59" s="243"/>
      <c r="AZ59" s="243"/>
      <c r="BA59" s="243"/>
      <c r="BB59" s="243"/>
      <c r="BC59" s="243"/>
      <c r="BD59" s="243"/>
      <c r="BE59" s="243"/>
      <c r="BF59" s="243"/>
      <c r="BG59" s="256"/>
    </row>
    <row r="60" spans="1:59">
      <c r="A60" s="254">
        <v>49</v>
      </c>
      <c r="B60" s="242"/>
      <c r="C60" s="243"/>
      <c r="D60" s="243"/>
      <c r="E60" s="243"/>
      <c r="F60" s="243"/>
      <c r="G60" s="243"/>
      <c r="H60" s="243"/>
      <c r="I60" s="243"/>
      <c r="J60" s="243"/>
      <c r="K60" s="243"/>
      <c r="L60" s="243"/>
      <c r="M60" s="243"/>
      <c r="N60" s="256"/>
      <c r="P60" s="254">
        <v>49</v>
      </c>
      <c r="Q60" s="242"/>
      <c r="R60" s="243"/>
      <c r="S60" s="243"/>
      <c r="T60" s="243"/>
      <c r="U60" s="243"/>
      <c r="V60" s="243"/>
      <c r="W60" s="243"/>
      <c r="X60" s="243"/>
      <c r="Y60" s="243"/>
      <c r="Z60" s="243"/>
      <c r="AA60" s="243"/>
      <c r="AB60" s="243"/>
      <c r="AC60" s="256"/>
      <c r="AE60" s="254">
        <v>49</v>
      </c>
      <c r="AF60" s="242"/>
      <c r="AG60" s="243"/>
      <c r="AH60" s="243"/>
      <c r="AI60" s="243"/>
      <c r="AJ60" s="243"/>
      <c r="AK60" s="243"/>
      <c r="AL60" s="243"/>
      <c r="AM60" s="243"/>
      <c r="AN60" s="243"/>
      <c r="AO60" s="243"/>
      <c r="AP60" s="243"/>
      <c r="AQ60" s="243"/>
      <c r="AR60" s="256"/>
      <c r="AT60" s="254">
        <v>49</v>
      </c>
      <c r="AU60" s="242"/>
      <c r="AV60" s="243"/>
      <c r="AW60" s="243"/>
      <c r="AX60" s="243"/>
      <c r="AY60" s="243"/>
      <c r="AZ60" s="243"/>
      <c r="BA60" s="243"/>
      <c r="BB60" s="243"/>
      <c r="BC60" s="243"/>
      <c r="BD60" s="243"/>
      <c r="BE60" s="243"/>
      <c r="BF60" s="243"/>
      <c r="BG60" s="256"/>
    </row>
    <row r="61" spans="1:59">
      <c r="A61" s="254">
        <v>50</v>
      </c>
      <c r="B61" s="242"/>
      <c r="C61" s="243"/>
      <c r="D61" s="243"/>
      <c r="E61" s="243"/>
      <c r="F61" s="243"/>
      <c r="G61" s="243"/>
      <c r="H61" s="243"/>
      <c r="I61" s="243"/>
      <c r="J61" s="243"/>
      <c r="K61" s="243"/>
      <c r="L61" s="243"/>
      <c r="M61" s="243"/>
      <c r="N61" s="256"/>
      <c r="P61" s="254">
        <v>50</v>
      </c>
      <c r="Q61" s="242"/>
      <c r="R61" s="243"/>
      <c r="S61" s="243"/>
      <c r="T61" s="243"/>
      <c r="U61" s="243"/>
      <c r="V61" s="243"/>
      <c r="W61" s="243"/>
      <c r="X61" s="243"/>
      <c r="Y61" s="243"/>
      <c r="Z61" s="243"/>
      <c r="AA61" s="243"/>
      <c r="AB61" s="243"/>
      <c r="AC61" s="256"/>
      <c r="AE61" s="254">
        <v>50</v>
      </c>
      <c r="AF61" s="242"/>
      <c r="AG61" s="243"/>
      <c r="AH61" s="243"/>
      <c r="AI61" s="243"/>
      <c r="AJ61" s="243"/>
      <c r="AK61" s="243"/>
      <c r="AL61" s="243"/>
      <c r="AM61" s="243"/>
      <c r="AN61" s="243"/>
      <c r="AO61" s="243"/>
      <c r="AP61" s="243"/>
      <c r="AQ61" s="243"/>
      <c r="AR61" s="256"/>
      <c r="AT61" s="254">
        <v>50</v>
      </c>
      <c r="AU61" s="242"/>
      <c r="AV61" s="243"/>
      <c r="AW61" s="243"/>
      <c r="AX61" s="243"/>
      <c r="AY61" s="243"/>
      <c r="AZ61" s="243"/>
      <c r="BA61" s="243"/>
      <c r="BB61" s="243"/>
      <c r="BC61" s="243"/>
      <c r="BD61" s="243"/>
      <c r="BE61" s="243"/>
      <c r="BF61" s="243"/>
      <c r="BG61" s="256"/>
    </row>
    <row r="62" spans="1:59">
      <c r="A62" s="254">
        <v>51</v>
      </c>
      <c r="B62" s="242"/>
      <c r="C62" s="243"/>
      <c r="D62" s="243"/>
      <c r="E62" s="243"/>
      <c r="F62" s="243"/>
      <c r="G62" s="243"/>
      <c r="H62" s="243"/>
      <c r="I62" s="243"/>
      <c r="J62" s="243"/>
      <c r="K62" s="243"/>
      <c r="L62" s="243"/>
      <c r="M62" s="243"/>
      <c r="N62" s="256"/>
      <c r="P62" s="254">
        <v>51</v>
      </c>
      <c r="Q62" s="242"/>
      <c r="R62" s="243"/>
      <c r="S62" s="243"/>
      <c r="T62" s="243"/>
      <c r="U62" s="243"/>
      <c r="V62" s="243"/>
      <c r="W62" s="243"/>
      <c r="X62" s="243"/>
      <c r="Y62" s="243"/>
      <c r="Z62" s="243"/>
      <c r="AA62" s="243"/>
      <c r="AB62" s="243"/>
      <c r="AC62" s="256"/>
      <c r="AE62" s="254">
        <v>51</v>
      </c>
      <c r="AF62" s="242"/>
      <c r="AG62" s="243"/>
      <c r="AH62" s="243"/>
      <c r="AI62" s="243"/>
      <c r="AJ62" s="243"/>
      <c r="AK62" s="243"/>
      <c r="AL62" s="243"/>
      <c r="AM62" s="243"/>
      <c r="AN62" s="243"/>
      <c r="AO62" s="243"/>
      <c r="AP62" s="243"/>
      <c r="AQ62" s="243"/>
      <c r="AR62" s="256"/>
      <c r="AT62" s="254">
        <v>51</v>
      </c>
      <c r="AU62" s="242"/>
      <c r="AV62" s="243"/>
      <c r="AW62" s="243"/>
      <c r="AX62" s="243"/>
      <c r="AY62" s="243"/>
      <c r="AZ62" s="243"/>
      <c r="BA62" s="243"/>
      <c r="BB62" s="243"/>
      <c r="BC62" s="243"/>
      <c r="BD62" s="243"/>
      <c r="BE62" s="243"/>
      <c r="BF62" s="243"/>
      <c r="BG62" s="256"/>
    </row>
    <row r="63" spans="1:59">
      <c r="A63" s="254">
        <v>52</v>
      </c>
      <c r="B63" s="242"/>
      <c r="C63" s="243"/>
      <c r="D63" s="243"/>
      <c r="E63" s="243"/>
      <c r="F63" s="243"/>
      <c r="G63" s="243"/>
      <c r="H63" s="243"/>
      <c r="I63" s="243"/>
      <c r="J63" s="243"/>
      <c r="K63" s="243"/>
      <c r="L63" s="243"/>
      <c r="M63" s="243"/>
      <c r="N63" s="256"/>
      <c r="P63" s="254">
        <v>52</v>
      </c>
      <c r="Q63" s="242"/>
      <c r="R63" s="243"/>
      <c r="S63" s="243"/>
      <c r="T63" s="243"/>
      <c r="U63" s="243"/>
      <c r="V63" s="243"/>
      <c r="W63" s="243"/>
      <c r="X63" s="243"/>
      <c r="Y63" s="243"/>
      <c r="Z63" s="243"/>
      <c r="AA63" s="243"/>
      <c r="AB63" s="243"/>
      <c r="AC63" s="256"/>
      <c r="AE63" s="254">
        <v>52</v>
      </c>
      <c r="AF63" s="242"/>
      <c r="AG63" s="243"/>
      <c r="AH63" s="243"/>
      <c r="AI63" s="243"/>
      <c r="AJ63" s="243"/>
      <c r="AK63" s="243"/>
      <c r="AL63" s="243"/>
      <c r="AM63" s="243"/>
      <c r="AN63" s="243"/>
      <c r="AO63" s="243"/>
      <c r="AP63" s="243"/>
      <c r="AQ63" s="243"/>
      <c r="AR63" s="256"/>
      <c r="AT63" s="254">
        <v>52</v>
      </c>
      <c r="AU63" s="242"/>
      <c r="AV63" s="243"/>
      <c r="AW63" s="243"/>
      <c r="AX63" s="243"/>
      <c r="AY63" s="243"/>
      <c r="AZ63" s="243"/>
      <c r="BA63" s="243"/>
      <c r="BB63" s="243"/>
      <c r="BC63" s="243"/>
      <c r="BD63" s="243"/>
      <c r="BE63" s="243"/>
      <c r="BF63" s="243"/>
      <c r="BG63" s="256"/>
    </row>
    <row r="64" spans="1:59">
      <c r="A64" s="254">
        <v>53</v>
      </c>
      <c r="B64" s="242"/>
      <c r="C64" s="243"/>
      <c r="D64" s="243"/>
      <c r="E64" s="243"/>
      <c r="F64" s="243"/>
      <c r="G64" s="243"/>
      <c r="H64" s="243"/>
      <c r="I64" s="243"/>
      <c r="J64" s="243"/>
      <c r="K64" s="243"/>
      <c r="L64" s="243"/>
      <c r="M64" s="243"/>
      <c r="N64" s="256"/>
      <c r="P64" s="254">
        <v>53</v>
      </c>
      <c r="Q64" s="242"/>
      <c r="R64" s="243"/>
      <c r="S64" s="243"/>
      <c r="T64" s="243"/>
      <c r="U64" s="243"/>
      <c r="V64" s="243"/>
      <c r="W64" s="243"/>
      <c r="X64" s="243"/>
      <c r="Y64" s="243"/>
      <c r="Z64" s="243"/>
      <c r="AA64" s="243"/>
      <c r="AB64" s="243"/>
      <c r="AC64" s="256"/>
      <c r="AE64" s="254">
        <v>53</v>
      </c>
      <c r="AF64" s="242"/>
      <c r="AG64" s="243"/>
      <c r="AH64" s="243"/>
      <c r="AI64" s="243"/>
      <c r="AJ64" s="243"/>
      <c r="AK64" s="243"/>
      <c r="AL64" s="243"/>
      <c r="AM64" s="243"/>
      <c r="AN64" s="243"/>
      <c r="AO64" s="243"/>
      <c r="AP64" s="243"/>
      <c r="AQ64" s="243"/>
      <c r="AR64" s="256"/>
      <c r="AT64" s="254">
        <v>53</v>
      </c>
      <c r="AU64" s="242"/>
      <c r="AV64" s="243"/>
      <c r="AW64" s="243"/>
      <c r="AX64" s="243"/>
      <c r="AY64" s="243"/>
      <c r="AZ64" s="243"/>
      <c r="BA64" s="243"/>
      <c r="BB64" s="243"/>
      <c r="BC64" s="243"/>
      <c r="BD64" s="243"/>
      <c r="BE64" s="243"/>
      <c r="BF64" s="243"/>
      <c r="BG64" s="256"/>
    </row>
    <row r="65" spans="1:59">
      <c r="A65" s="254">
        <v>54</v>
      </c>
      <c r="B65" s="242"/>
      <c r="C65" s="243"/>
      <c r="D65" s="243"/>
      <c r="E65" s="243"/>
      <c r="F65" s="243"/>
      <c r="G65" s="243"/>
      <c r="H65" s="243"/>
      <c r="I65" s="243"/>
      <c r="J65" s="243"/>
      <c r="K65" s="243"/>
      <c r="L65" s="243"/>
      <c r="M65" s="243"/>
      <c r="N65" s="256"/>
      <c r="P65" s="254">
        <v>54</v>
      </c>
      <c r="Q65" s="242"/>
      <c r="R65" s="243"/>
      <c r="S65" s="243"/>
      <c r="T65" s="243"/>
      <c r="U65" s="243"/>
      <c r="V65" s="243"/>
      <c r="W65" s="243"/>
      <c r="X65" s="243"/>
      <c r="Y65" s="243"/>
      <c r="Z65" s="243"/>
      <c r="AA65" s="243"/>
      <c r="AB65" s="243"/>
      <c r="AC65" s="256"/>
      <c r="AE65" s="254">
        <v>54</v>
      </c>
      <c r="AF65" s="242"/>
      <c r="AG65" s="243"/>
      <c r="AH65" s="243"/>
      <c r="AI65" s="243"/>
      <c r="AJ65" s="243"/>
      <c r="AK65" s="243"/>
      <c r="AL65" s="243"/>
      <c r="AM65" s="243"/>
      <c r="AN65" s="243"/>
      <c r="AO65" s="243"/>
      <c r="AP65" s="243"/>
      <c r="AQ65" s="243"/>
      <c r="AR65" s="256"/>
      <c r="AT65" s="254">
        <v>54</v>
      </c>
      <c r="AU65" s="242"/>
      <c r="AV65" s="243"/>
      <c r="AW65" s="243"/>
      <c r="AX65" s="243"/>
      <c r="AY65" s="243"/>
      <c r="AZ65" s="243"/>
      <c r="BA65" s="243"/>
      <c r="BB65" s="243"/>
      <c r="BC65" s="243"/>
      <c r="BD65" s="243"/>
      <c r="BE65" s="243"/>
      <c r="BF65" s="243"/>
      <c r="BG65" s="256"/>
    </row>
    <row r="66" spans="1:59">
      <c r="A66" s="254">
        <v>55</v>
      </c>
      <c r="B66" s="242"/>
      <c r="C66" s="243"/>
      <c r="D66" s="243"/>
      <c r="E66" s="243"/>
      <c r="F66" s="243"/>
      <c r="G66" s="243"/>
      <c r="H66" s="243"/>
      <c r="I66" s="243"/>
      <c r="J66" s="243"/>
      <c r="K66" s="243"/>
      <c r="L66" s="243"/>
      <c r="M66" s="243"/>
      <c r="N66" s="256"/>
      <c r="P66" s="254">
        <v>55</v>
      </c>
      <c r="Q66" s="242"/>
      <c r="R66" s="243"/>
      <c r="S66" s="243"/>
      <c r="T66" s="243"/>
      <c r="U66" s="243"/>
      <c r="V66" s="243"/>
      <c r="W66" s="243"/>
      <c r="X66" s="243"/>
      <c r="Y66" s="243"/>
      <c r="Z66" s="243"/>
      <c r="AA66" s="243"/>
      <c r="AB66" s="243"/>
      <c r="AC66" s="256"/>
      <c r="AE66" s="254">
        <v>55</v>
      </c>
      <c r="AF66" s="242"/>
      <c r="AG66" s="243"/>
      <c r="AH66" s="243"/>
      <c r="AI66" s="243"/>
      <c r="AJ66" s="243"/>
      <c r="AK66" s="243"/>
      <c r="AL66" s="243"/>
      <c r="AM66" s="243"/>
      <c r="AN66" s="243"/>
      <c r="AO66" s="243"/>
      <c r="AP66" s="243"/>
      <c r="AQ66" s="243"/>
      <c r="AR66" s="256"/>
      <c r="AT66" s="254">
        <v>55</v>
      </c>
      <c r="AU66" s="242"/>
      <c r="AV66" s="243"/>
      <c r="AW66" s="243"/>
      <c r="AX66" s="243"/>
      <c r="AY66" s="243"/>
      <c r="AZ66" s="243"/>
      <c r="BA66" s="243"/>
      <c r="BB66" s="243"/>
      <c r="BC66" s="243"/>
      <c r="BD66" s="243"/>
      <c r="BE66" s="243"/>
      <c r="BF66" s="243"/>
      <c r="BG66" s="256"/>
    </row>
    <row r="67" spans="1:59">
      <c r="A67" s="254">
        <v>56</v>
      </c>
      <c r="B67" s="242"/>
      <c r="C67" s="243"/>
      <c r="D67" s="243"/>
      <c r="E67" s="243"/>
      <c r="F67" s="243"/>
      <c r="G67" s="243"/>
      <c r="H67" s="243"/>
      <c r="I67" s="243"/>
      <c r="J67" s="243"/>
      <c r="K67" s="243"/>
      <c r="L67" s="243"/>
      <c r="M67" s="243"/>
      <c r="N67" s="256"/>
      <c r="P67" s="254">
        <v>56</v>
      </c>
      <c r="Q67" s="242"/>
      <c r="R67" s="243"/>
      <c r="S67" s="243"/>
      <c r="T67" s="243"/>
      <c r="U67" s="243"/>
      <c r="V67" s="243"/>
      <c r="W67" s="243"/>
      <c r="X67" s="243"/>
      <c r="Y67" s="243"/>
      <c r="Z67" s="243"/>
      <c r="AA67" s="243"/>
      <c r="AB67" s="243"/>
      <c r="AC67" s="256"/>
      <c r="AE67" s="254">
        <v>56</v>
      </c>
      <c r="AF67" s="242"/>
      <c r="AG67" s="243"/>
      <c r="AH67" s="243"/>
      <c r="AI67" s="243"/>
      <c r="AJ67" s="243"/>
      <c r="AK67" s="243"/>
      <c r="AL67" s="243"/>
      <c r="AM67" s="243"/>
      <c r="AN67" s="243"/>
      <c r="AO67" s="243"/>
      <c r="AP67" s="243"/>
      <c r="AQ67" s="243"/>
      <c r="AR67" s="256"/>
      <c r="AT67" s="254">
        <v>56</v>
      </c>
      <c r="AU67" s="242"/>
      <c r="AV67" s="243"/>
      <c r="AW67" s="243"/>
      <c r="AX67" s="243"/>
      <c r="AY67" s="243"/>
      <c r="AZ67" s="243"/>
      <c r="BA67" s="243"/>
      <c r="BB67" s="243"/>
      <c r="BC67" s="243"/>
      <c r="BD67" s="243"/>
      <c r="BE67" s="243"/>
      <c r="BF67" s="243"/>
      <c r="BG67" s="256"/>
    </row>
    <row r="68" spans="1:59">
      <c r="A68" s="254">
        <v>57</v>
      </c>
      <c r="B68" s="242"/>
      <c r="C68" s="243"/>
      <c r="D68" s="243"/>
      <c r="E68" s="243"/>
      <c r="F68" s="243"/>
      <c r="G68" s="243"/>
      <c r="H68" s="243"/>
      <c r="I68" s="243"/>
      <c r="J68" s="243"/>
      <c r="K68" s="243"/>
      <c r="L68" s="243"/>
      <c r="M68" s="243"/>
      <c r="N68" s="256"/>
      <c r="P68" s="254">
        <v>57</v>
      </c>
      <c r="Q68" s="242"/>
      <c r="R68" s="243"/>
      <c r="S68" s="243"/>
      <c r="T68" s="243"/>
      <c r="U68" s="243"/>
      <c r="V68" s="243"/>
      <c r="W68" s="243"/>
      <c r="X68" s="243"/>
      <c r="Y68" s="243"/>
      <c r="Z68" s="243"/>
      <c r="AA68" s="243"/>
      <c r="AB68" s="243"/>
      <c r="AC68" s="256"/>
      <c r="AE68" s="254">
        <v>57</v>
      </c>
      <c r="AF68" s="242"/>
      <c r="AG68" s="243"/>
      <c r="AH68" s="243"/>
      <c r="AI68" s="243"/>
      <c r="AJ68" s="243"/>
      <c r="AK68" s="243"/>
      <c r="AL68" s="243"/>
      <c r="AM68" s="243"/>
      <c r="AN68" s="243"/>
      <c r="AO68" s="243"/>
      <c r="AP68" s="243"/>
      <c r="AQ68" s="243"/>
      <c r="AR68" s="256"/>
      <c r="AT68" s="254">
        <v>57</v>
      </c>
      <c r="AU68" s="242"/>
      <c r="AV68" s="243"/>
      <c r="AW68" s="243"/>
      <c r="AX68" s="243"/>
      <c r="AY68" s="243"/>
      <c r="AZ68" s="243"/>
      <c r="BA68" s="243"/>
      <c r="BB68" s="243"/>
      <c r="BC68" s="243"/>
      <c r="BD68" s="243"/>
      <c r="BE68" s="243"/>
      <c r="BF68" s="243"/>
      <c r="BG68" s="256"/>
    </row>
    <row r="69" spans="1:59">
      <c r="A69" s="254">
        <v>58</v>
      </c>
      <c r="B69" s="242"/>
      <c r="C69" s="243"/>
      <c r="D69" s="243"/>
      <c r="E69" s="243"/>
      <c r="F69" s="243"/>
      <c r="G69" s="243"/>
      <c r="H69" s="243"/>
      <c r="I69" s="243"/>
      <c r="J69" s="243"/>
      <c r="K69" s="243"/>
      <c r="L69" s="243"/>
      <c r="M69" s="243"/>
      <c r="N69" s="256"/>
      <c r="P69" s="254">
        <v>58</v>
      </c>
      <c r="Q69" s="242"/>
      <c r="R69" s="243"/>
      <c r="S69" s="243"/>
      <c r="T69" s="243"/>
      <c r="U69" s="243"/>
      <c r="V69" s="243"/>
      <c r="W69" s="243"/>
      <c r="X69" s="243"/>
      <c r="Y69" s="243"/>
      <c r="Z69" s="243"/>
      <c r="AA69" s="243"/>
      <c r="AB69" s="243"/>
      <c r="AC69" s="256"/>
      <c r="AE69" s="254">
        <v>58</v>
      </c>
      <c r="AF69" s="242"/>
      <c r="AG69" s="243"/>
      <c r="AH69" s="243"/>
      <c r="AI69" s="243"/>
      <c r="AJ69" s="243"/>
      <c r="AK69" s="243"/>
      <c r="AL69" s="243"/>
      <c r="AM69" s="243"/>
      <c r="AN69" s="243"/>
      <c r="AO69" s="243"/>
      <c r="AP69" s="243"/>
      <c r="AQ69" s="243"/>
      <c r="AR69" s="256"/>
      <c r="AT69" s="254">
        <v>58</v>
      </c>
      <c r="AU69" s="242"/>
      <c r="AV69" s="243"/>
      <c r="AW69" s="243"/>
      <c r="AX69" s="243"/>
      <c r="AY69" s="243"/>
      <c r="AZ69" s="243"/>
      <c r="BA69" s="243"/>
      <c r="BB69" s="243"/>
      <c r="BC69" s="243"/>
      <c r="BD69" s="243"/>
      <c r="BE69" s="243"/>
      <c r="BF69" s="243"/>
      <c r="BG69" s="256"/>
    </row>
    <row r="70" spans="1:59">
      <c r="A70" s="254">
        <v>59</v>
      </c>
      <c r="B70" s="242"/>
      <c r="C70" s="243"/>
      <c r="D70" s="243"/>
      <c r="E70" s="243"/>
      <c r="F70" s="243"/>
      <c r="G70" s="243"/>
      <c r="H70" s="243"/>
      <c r="I70" s="243"/>
      <c r="J70" s="243"/>
      <c r="K70" s="243"/>
      <c r="L70" s="243"/>
      <c r="M70" s="243"/>
      <c r="N70" s="256"/>
      <c r="P70" s="254">
        <v>59</v>
      </c>
      <c r="Q70" s="242"/>
      <c r="R70" s="243"/>
      <c r="S70" s="243"/>
      <c r="T70" s="243"/>
      <c r="U70" s="243"/>
      <c r="V70" s="243"/>
      <c r="W70" s="243"/>
      <c r="X70" s="243"/>
      <c r="Y70" s="243"/>
      <c r="Z70" s="243"/>
      <c r="AA70" s="243"/>
      <c r="AB70" s="243"/>
      <c r="AC70" s="256"/>
      <c r="AE70" s="254">
        <v>59</v>
      </c>
      <c r="AF70" s="242"/>
      <c r="AG70" s="243"/>
      <c r="AH70" s="243"/>
      <c r="AI70" s="243"/>
      <c r="AJ70" s="243"/>
      <c r="AK70" s="243"/>
      <c r="AL70" s="243"/>
      <c r="AM70" s="243"/>
      <c r="AN70" s="243"/>
      <c r="AO70" s="243"/>
      <c r="AP70" s="243"/>
      <c r="AQ70" s="243"/>
      <c r="AR70" s="256"/>
      <c r="AT70" s="254">
        <v>59</v>
      </c>
      <c r="AU70" s="242"/>
      <c r="AV70" s="243"/>
      <c r="AW70" s="243"/>
      <c r="AX70" s="243"/>
      <c r="AY70" s="243"/>
      <c r="AZ70" s="243"/>
      <c r="BA70" s="243"/>
      <c r="BB70" s="243"/>
      <c r="BC70" s="243"/>
      <c r="BD70" s="243"/>
      <c r="BE70" s="243"/>
      <c r="BF70" s="243"/>
      <c r="BG70" s="256"/>
    </row>
    <row r="71" spans="1:59">
      <c r="A71" s="254">
        <v>60</v>
      </c>
      <c r="B71" s="242"/>
      <c r="C71" s="243"/>
      <c r="D71" s="243"/>
      <c r="E71" s="243"/>
      <c r="F71" s="243"/>
      <c r="G71" s="243"/>
      <c r="H71" s="243"/>
      <c r="I71" s="243"/>
      <c r="J71" s="243"/>
      <c r="K71" s="243"/>
      <c r="L71" s="243"/>
      <c r="M71" s="243"/>
      <c r="N71" s="256"/>
      <c r="P71" s="254">
        <v>60</v>
      </c>
      <c r="Q71" s="242"/>
      <c r="R71" s="243"/>
      <c r="S71" s="243"/>
      <c r="T71" s="243"/>
      <c r="U71" s="243"/>
      <c r="V71" s="243"/>
      <c r="W71" s="243"/>
      <c r="X71" s="243"/>
      <c r="Y71" s="243"/>
      <c r="Z71" s="243"/>
      <c r="AA71" s="243"/>
      <c r="AB71" s="243"/>
      <c r="AC71" s="256"/>
      <c r="AE71" s="254">
        <v>60</v>
      </c>
      <c r="AF71" s="242"/>
      <c r="AG71" s="243"/>
      <c r="AH71" s="243"/>
      <c r="AI71" s="243"/>
      <c r="AJ71" s="243"/>
      <c r="AK71" s="243"/>
      <c r="AL71" s="243"/>
      <c r="AM71" s="243"/>
      <c r="AN71" s="243"/>
      <c r="AO71" s="243"/>
      <c r="AP71" s="243"/>
      <c r="AQ71" s="243"/>
      <c r="AR71" s="256"/>
      <c r="AT71" s="254">
        <v>60</v>
      </c>
      <c r="AU71" s="242"/>
      <c r="AV71" s="243"/>
      <c r="AW71" s="243"/>
      <c r="AX71" s="243"/>
      <c r="AY71" s="243"/>
      <c r="AZ71" s="243"/>
      <c r="BA71" s="243"/>
      <c r="BB71" s="243"/>
      <c r="BC71" s="243"/>
      <c r="BD71" s="243"/>
      <c r="BE71" s="243"/>
      <c r="BF71" s="243"/>
      <c r="BG71" s="256"/>
    </row>
    <row r="72" spans="1:59">
      <c r="A72" s="254">
        <v>61</v>
      </c>
      <c r="B72" s="242"/>
      <c r="C72" s="243"/>
      <c r="D72" s="243"/>
      <c r="E72" s="243"/>
      <c r="F72" s="243"/>
      <c r="G72" s="243"/>
      <c r="H72" s="243"/>
      <c r="I72" s="243"/>
      <c r="J72" s="243"/>
      <c r="K72" s="243"/>
      <c r="L72" s="243"/>
      <c r="M72" s="243"/>
      <c r="N72" s="256"/>
      <c r="P72" s="254">
        <v>61</v>
      </c>
      <c r="Q72" s="242"/>
      <c r="R72" s="243"/>
      <c r="S72" s="243"/>
      <c r="T72" s="243"/>
      <c r="U72" s="243"/>
      <c r="V72" s="243"/>
      <c r="W72" s="243"/>
      <c r="X72" s="243"/>
      <c r="Y72" s="243"/>
      <c r="Z72" s="243"/>
      <c r="AA72" s="243"/>
      <c r="AB72" s="243"/>
      <c r="AC72" s="256"/>
      <c r="AE72" s="254">
        <v>61</v>
      </c>
      <c r="AF72" s="242"/>
      <c r="AG72" s="243"/>
      <c r="AH72" s="243"/>
      <c r="AI72" s="243"/>
      <c r="AJ72" s="243"/>
      <c r="AK72" s="243"/>
      <c r="AL72" s="243"/>
      <c r="AM72" s="243"/>
      <c r="AN72" s="243"/>
      <c r="AO72" s="243"/>
      <c r="AP72" s="243"/>
      <c r="AQ72" s="243"/>
      <c r="AR72" s="256"/>
      <c r="AT72" s="254">
        <v>61</v>
      </c>
      <c r="AU72" s="242"/>
      <c r="AV72" s="243"/>
      <c r="AW72" s="243"/>
      <c r="AX72" s="243"/>
      <c r="AY72" s="243"/>
      <c r="AZ72" s="243"/>
      <c r="BA72" s="243"/>
      <c r="BB72" s="243"/>
      <c r="BC72" s="243"/>
      <c r="BD72" s="243"/>
      <c r="BE72" s="243"/>
      <c r="BF72" s="243"/>
      <c r="BG72" s="256"/>
    </row>
    <row r="73" spans="1:59">
      <c r="A73" s="254">
        <v>62</v>
      </c>
      <c r="B73" s="242"/>
      <c r="C73" s="243"/>
      <c r="D73" s="243"/>
      <c r="E73" s="243"/>
      <c r="F73" s="243"/>
      <c r="G73" s="243"/>
      <c r="H73" s="243"/>
      <c r="I73" s="243"/>
      <c r="J73" s="243"/>
      <c r="K73" s="243"/>
      <c r="L73" s="243"/>
      <c r="M73" s="243"/>
      <c r="N73" s="256"/>
      <c r="P73" s="254">
        <v>62</v>
      </c>
      <c r="Q73" s="242"/>
      <c r="R73" s="243"/>
      <c r="S73" s="243"/>
      <c r="T73" s="243"/>
      <c r="U73" s="243"/>
      <c r="V73" s="243"/>
      <c r="W73" s="243"/>
      <c r="X73" s="243"/>
      <c r="Y73" s="243"/>
      <c r="Z73" s="243"/>
      <c r="AA73" s="243"/>
      <c r="AB73" s="243"/>
      <c r="AC73" s="256"/>
      <c r="AE73" s="254">
        <v>62</v>
      </c>
      <c r="AF73" s="242"/>
      <c r="AG73" s="243"/>
      <c r="AH73" s="243"/>
      <c r="AI73" s="243"/>
      <c r="AJ73" s="243"/>
      <c r="AK73" s="243"/>
      <c r="AL73" s="243"/>
      <c r="AM73" s="243"/>
      <c r="AN73" s="243"/>
      <c r="AO73" s="243"/>
      <c r="AP73" s="243"/>
      <c r="AQ73" s="243"/>
      <c r="AR73" s="256"/>
      <c r="AT73" s="254">
        <v>62</v>
      </c>
      <c r="AU73" s="242"/>
      <c r="AV73" s="243"/>
      <c r="AW73" s="243"/>
      <c r="AX73" s="243"/>
      <c r="AY73" s="243"/>
      <c r="AZ73" s="243"/>
      <c r="BA73" s="243"/>
      <c r="BB73" s="243"/>
      <c r="BC73" s="243"/>
      <c r="BD73" s="243"/>
      <c r="BE73" s="243"/>
      <c r="BF73" s="243"/>
      <c r="BG73" s="256"/>
    </row>
    <row r="74" spans="1:59">
      <c r="A74" s="254">
        <v>63</v>
      </c>
      <c r="B74" s="242"/>
      <c r="C74" s="243"/>
      <c r="D74" s="243"/>
      <c r="E74" s="243"/>
      <c r="F74" s="243"/>
      <c r="G74" s="243"/>
      <c r="H74" s="243"/>
      <c r="I74" s="243"/>
      <c r="J74" s="243"/>
      <c r="K74" s="243"/>
      <c r="L74" s="243"/>
      <c r="M74" s="243"/>
      <c r="N74" s="256"/>
      <c r="P74" s="254">
        <v>63</v>
      </c>
      <c r="Q74" s="242"/>
      <c r="R74" s="243"/>
      <c r="S74" s="243"/>
      <c r="T74" s="243"/>
      <c r="U74" s="243"/>
      <c r="V74" s="243"/>
      <c r="W74" s="243"/>
      <c r="X74" s="243"/>
      <c r="Y74" s="243"/>
      <c r="Z74" s="243"/>
      <c r="AA74" s="243"/>
      <c r="AB74" s="243"/>
      <c r="AC74" s="256"/>
      <c r="AE74" s="254">
        <v>63</v>
      </c>
      <c r="AF74" s="242"/>
      <c r="AG74" s="243"/>
      <c r="AH74" s="243"/>
      <c r="AI74" s="243"/>
      <c r="AJ74" s="243"/>
      <c r="AK74" s="243"/>
      <c r="AL74" s="243"/>
      <c r="AM74" s="243"/>
      <c r="AN74" s="243"/>
      <c r="AO74" s="243"/>
      <c r="AP74" s="243"/>
      <c r="AQ74" s="243"/>
      <c r="AR74" s="256"/>
      <c r="AT74" s="254">
        <v>63</v>
      </c>
      <c r="AU74" s="242"/>
      <c r="AV74" s="243"/>
      <c r="AW74" s="243"/>
      <c r="AX74" s="243"/>
      <c r="AY74" s="243"/>
      <c r="AZ74" s="243"/>
      <c r="BA74" s="243"/>
      <c r="BB74" s="243"/>
      <c r="BC74" s="243"/>
      <c r="BD74" s="243"/>
      <c r="BE74" s="243"/>
      <c r="BF74" s="243"/>
      <c r="BG74" s="256"/>
    </row>
    <row r="75" spans="1:59">
      <c r="A75" s="254">
        <v>64</v>
      </c>
      <c r="B75" s="242"/>
      <c r="C75" s="243"/>
      <c r="D75" s="243"/>
      <c r="E75" s="243"/>
      <c r="F75" s="243"/>
      <c r="G75" s="243"/>
      <c r="H75" s="243"/>
      <c r="I75" s="243"/>
      <c r="J75" s="243"/>
      <c r="K75" s="243"/>
      <c r="L75" s="243"/>
      <c r="M75" s="243"/>
      <c r="N75" s="256"/>
      <c r="P75" s="254">
        <v>64</v>
      </c>
      <c r="Q75" s="242"/>
      <c r="R75" s="243"/>
      <c r="S75" s="243"/>
      <c r="T75" s="243"/>
      <c r="U75" s="243"/>
      <c r="V75" s="243"/>
      <c r="W75" s="243"/>
      <c r="X75" s="243"/>
      <c r="Y75" s="243"/>
      <c r="Z75" s="243"/>
      <c r="AA75" s="243"/>
      <c r="AB75" s="243"/>
      <c r="AC75" s="256"/>
      <c r="AE75" s="254">
        <v>64</v>
      </c>
      <c r="AF75" s="242"/>
      <c r="AG75" s="243"/>
      <c r="AH75" s="243"/>
      <c r="AI75" s="243"/>
      <c r="AJ75" s="243"/>
      <c r="AK75" s="243"/>
      <c r="AL75" s="243"/>
      <c r="AM75" s="243"/>
      <c r="AN75" s="243"/>
      <c r="AO75" s="243"/>
      <c r="AP75" s="243"/>
      <c r="AQ75" s="243"/>
      <c r="AR75" s="256"/>
      <c r="AT75" s="254">
        <v>64</v>
      </c>
      <c r="AU75" s="242"/>
      <c r="AV75" s="243"/>
      <c r="AW75" s="243"/>
      <c r="AX75" s="243"/>
      <c r="AY75" s="243"/>
      <c r="AZ75" s="243"/>
      <c r="BA75" s="243"/>
      <c r="BB75" s="243"/>
      <c r="BC75" s="243"/>
      <c r="BD75" s="243"/>
      <c r="BE75" s="243"/>
      <c r="BF75" s="243"/>
      <c r="BG75" s="256"/>
    </row>
    <row r="76" spans="1:59">
      <c r="A76" s="254">
        <v>65</v>
      </c>
      <c r="B76" s="242"/>
      <c r="C76" s="243"/>
      <c r="D76" s="243"/>
      <c r="E76" s="243"/>
      <c r="F76" s="243"/>
      <c r="G76" s="243"/>
      <c r="H76" s="243"/>
      <c r="I76" s="243"/>
      <c r="J76" s="243"/>
      <c r="K76" s="243"/>
      <c r="L76" s="243"/>
      <c r="M76" s="243"/>
      <c r="N76" s="256"/>
      <c r="P76" s="254">
        <v>65</v>
      </c>
      <c r="Q76" s="242"/>
      <c r="R76" s="243"/>
      <c r="S76" s="243"/>
      <c r="T76" s="243"/>
      <c r="U76" s="243"/>
      <c r="V76" s="243"/>
      <c r="W76" s="243"/>
      <c r="X76" s="243"/>
      <c r="Y76" s="243"/>
      <c r="Z76" s="243"/>
      <c r="AA76" s="243"/>
      <c r="AB76" s="243"/>
      <c r="AC76" s="256"/>
      <c r="AE76" s="254">
        <v>65</v>
      </c>
      <c r="AF76" s="242"/>
      <c r="AG76" s="243"/>
      <c r="AH76" s="243"/>
      <c r="AI76" s="243"/>
      <c r="AJ76" s="243"/>
      <c r="AK76" s="243"/>
      <c r="AL76" s="243"/>
      <c r="AM76" s="243"/>
      <c r="AN76" s="243"/>
      <c r="AO76" s="243"/>
      <c r="AP76" s="243"/>
      <c r="AQ76" s="243"/>
      <c r="AR76" s="256"/>
      <c r="AT76" s="254">
        <v>65</v>
      </c>
      <c r="AU76" s="242"/>
      <c r="AV76" s="243"/>
      <c r="AW76" s="243"/>
      <c r="AX76" s="243"/>
      <c r="AY76" s="243"/>
      <c r="AZ76" s="243"/>
      <c r="BA76" s="243"/>
      <c r="BB76" s="243"/>
      <c r="BC76" s="243"/>
      <c r="BD76" s="243"/>
      <c r="BE76" s="243"/>
      <c r="BF76" s="243"/>
      <c r="BG76" s="256"/>
    </row>
    <row r="77" spans="1:59">
      <c r="A77" s="254">
        <v>66</v>
      </c>
      <c r="B77" s="242"/>
      <c r="C77" s="243"/>
      <c r="D77" s="243"/>
      <c r="E77" s="243"/>
      <c r="F77" s="243"/>
      <c r="G77" s="243"/>
      <c r="H77" s="243"/>
      <c r="I77" s="243"/>
      <c r="J77" s="243"/>
      <c r="K77" s="243"/>
      <c r="L77" s="243"/>
      <c r="M77" s="243"/>
      <c r="N77" s="256"/>
      <c r="P77" s="254">
        <v>66</v>
      </c>
      <c r="Q77" s="242"/>
      <c r="R77" s="243"/>
      <c r="S77" s="243"/>
      <c r="T77" s="243"/>
      <c r="U77" s="243"/>
      <c r="V77" s="243"/>
      <c r="W77" s="243"/>
      <c r="X77" s="243"/>
      <c r="Y77" s="243"/>
      <c r="Z77" s="243"/>
      <c r="AA77" s="243"/>
      <c r="AB77" s="243"/>
      <c r="AC77" s="256"/>
      <c r="AE77" s="254">
        <v>66</v>
      </c>
      <c r="AF77" s="242"/>
      <c r="AG77" s="243"/>
      <c r="AH77" s="243"/>
      <c r="AI77" s="243"/>
      <c r="AJ77" s="243"/>
      <c r="AK77" s="243"/>
      <c r="AL77" s="243"/>
      <c r="AM77" s="243"/>
      <c r="AN77" s="243"/>
      <c r="AO77" s="243"/>
      <c r="AP77" s="243"/>
      <c r="AQ77" s="243"/>
      <c r="AR77" s="256"/>
      <c r="AT77" s="254">
        <v>66</v>
      </c>
      <c r="AU77" s="242"/>
      <c r="AV77" s="243"/>
      <c r="AW77" s="243"/>
      <c r="AX77" s="243"/>
      <c r="AY77" s="243"/>
      <c r="AZ77" s="243"/>
      <c r="BA77" s="243"/>
      <c r="BB77" s="243"/>
      <c r="BC77" s="243"/>
      <c r="BD77" s="243"/>
      <c r="BE77" s="243"/>
      <c r="BF77" s="243"/>
      <c r="BG77" s="256"/>
    </row>
    <row r="78" spans="1:59">
      <c r="A78" s="254">
        <v>67</v>
      </c>
      <c r="B78" s="242"/>
      <c r="C78" s="243"/>
      <c r="D78" s="243"/>
      <c r="E78" s="243"/>
      <c r="F78" s="243"/>
      <c r="G78" s="243"/>
      <c r="H78" s="243"/>
      <c r="I78" s="243"/>
      <c r="J78" s="243"/>
      <c r="K78" s="243"/>
      <c r="L78" s="243"/>
      <c r="M78" s="243"/>
      <c r="N78" s="256"/>
      <c r="P78" s="254">
        <v>67</v>
      </c>
      <c r="Q78" s="242"/>
      <c r="R78" s="243"/>
      <c r="S78" s="243"/>
      <c r="T78" s="243"/>
      <c r="U78" s="243"/>
      <c r="V78" s="243"/>
      <c r="W78" s="243"/>
      <c r="X78" s="243"/>
      <c r="Y78" s="243"/>
      <c r="Z78" s="243"/>
      <c r="AA78" s="243"/>
      <c r="AB78" s="243"/>
      <c r="AC78" s="256"/>
      <c r="AE78" s="254">
        <v>67</v>
      </c>
      <c r="AF78" s="242"/>
      <c r="AG78" s="243"/>
      <c r="AH78" s="243"/>
      <c r="AI78" s="243"/>
      <c r="AJ78" s="243"/>
      <c r="AK78" s="243"/>
      <c r="AL78" s="243"/>
      <c r="AM78" s="243"/>
      <c r="AN78" s="243"/>
      <c r="AO78" s="243"/>
      <c r="AP78" s="243"/>
      <c r="AQ78" s="243"/>
      <c r="AR78" s="256"/>
      <c r="AT78" s="254">
        <v>67</v>
      </c>
      <c r="AU78" s="242"/>
      <c r="AV78" s="243"/>
      <c r="AW78" s="243"/>
      <c r="AX78" s="243"/>
      <c r="AY78" s="243"/>
      <c r="AZ78" s="243"/>
      <c r="BA78" s="243"/>
      <c r="BB78" s="243"/>
      <c r="BC78" s="243"/>
      <c r="BD78" s="243"/>
      <c r="BE78" s="243"/>
      <c r="BF78" s="243"/>
      <c r="BG78" s="256"/>
    </row>
    <row r="79" spans="1:59">
      <c r="A79" s="254">
        <v>68</v>
      </c>
      <c r="B79" s="242"/>
      <c r="C79" s="243"/>
      <c r="D79" s="243"/>
      <c r="E79" s="243"/>
      <c r="F79" s="243"/>
      <c r="G79" s="243"/>
      <c r="H79" s="243"/>
      <c r="I79" s="243"/>
      <c r="J79" s="243"/>
      <c r="K79" s="243"/>
      <c r="L79" s="243"/>
      <c r="M79" s="243"/>
      <c r="N79" s="256"/>
      <c r="P79" s="254">
        <v>68</v>
      </c>
      <c r="Q79" s="242"/>
      <c r="R79" s="243"/>
      <c r="S79" s="243"/>
      <c r="T79" s="243"/>
      <c r="U79" s="243"/>
      <c r="V79" s="243"/>
      <c r="W79" s="243"/>
      <c r="X79" s="243"/>
      <c r="Y79" s="243"/>
      <c r="Z79" s="243"/>
      <c r="AA79" s="243"/>
      <c r="AB79" s="243"/>
      <c r="AC79" s="256"/>
      <c r="AE79" s="254">
        <v>68</v>
      </c>
      <c r="AF79" s="242"/>
      <c r="AG79" s="243"/>
      <c r="AH79" s="243"/>
      <c r="AI79" s="243"/>
      <c r="AJ79" s="243"/>
      <c r="AK79" s="243"/>
      <c r="AL79" s="243"/>
      <c r="AM79" s="243"/>
      <c r="AN79" s="243"/>
      <c r="AO79" s="243"/>
      <c r="AP79" s="243"/>
      <c r="AQ79" s="243"/>
      <c r="AR79" s="256"/>
      <c r="AT79" s="254">
        <v>68</v>
      </c>
      <c r="AU79" s="242"/>
      <c r="AV79" s="243"/>
      <c r="AW79" s="243"/>
      <c r="AX79" s="243"/>
      <c r="AY79" s="243"/>
      <c r="AZ79" s="243"/>
      <c r="BA79" s="243"/>
      <c r="BB79" s="243"/>
      <c r="BC79" s="243"/>
      <c r="BD79" s="243"/>
      <c r="BE79" s="243"/>
      <c r="BF79" s="243"/>
      <c r="BG79" s="256"/>
    </row>
    <row r="80" spans="1:59">
      <c r="A80" s="254">
        <v>69</v>
      </c>
      <c r="B80" s="242"/>
      <c r="C80" s="243"/>
      <c r="D80" s="243"/>
      <c r="E80" s="243"/>
      <c r="F80" s="243"/>
      <c r="G80" s="243"/>
      <c r="H80" s="243"/>
      <c r="I80" s="243"/>
      <c r="J80" s="243"/>
      <c r="K80" s="243"/>
      <c r="L80" s="243"/>
      <c r="M80" s="243"/>
      <c r="N80" s="256"/>
      <c r="P80" s="254">
        <v>69</v>
      </c>
      <c r="Q80" s="242"/>
      <c r="R80" s="243"/>
      <c r="S80" s="243"/>
      <c r="T80" s="243"/>
      <c r="U80" s="243"/>
      <c r="V80" s="243"/>
      <c r="W80" s="243"/>
      <c r="X80" s="243"/>
      <c r="Y80" s="243"/>
      <c r="Z80" s="243"/>
      <c r="AA80" s="243"/>
      <c r="AB80" s="243"/>
      <c r="AC80" s="256"/>
      <c r="AE80" s="254">
        <v>69</v>
      </c>
      <c r="AF80" s="242"/>
      <c r="AG80" s="243"/>
      <c r="AH80" s="243"/>
      <c r="AI80" s="243"/>
      <c r="AJ80" s="243"/>
      <c r="AK80" s="243"/>
      <c r="AL80" s="243"/>
      <c r="AM80" s="243"/>
      <c r="AN80" s="243"/>
      <c r="AO80" s="243"/>
      <c r="AP80" s="243"/>
      <c r="AQ80" s="243"/>
      <c r="AR80" s="256"/>
      <c r="AT80" s="254">
        <v>69</v>
      </c>
      <c r="AU80" s="242"/>
      <c r="AV80" s="243"/>
      <c r="AW80" s="243"/>
      <c r="AX80" s="243"/>
      <c r="AY80" s="243"/>
      <c r="AZ80" s="243"/>
      <c r="BA80" s="243"/>
      <c r="BB80" s="243"/>
      <c r="BC80" s="243"/>
      <c r="BD80" s="243"/>
      <c r="BE80" s="243"/>
      <c r="BF80" s="243"/>
      <c r="BG80" s="256"/>
    </row>
    <row r="81" spans="1:59">
      <c r="A81" s="254">
        <v>70</v>
      </c>
      <c r="B81" s="242"/>
      <c r="C81" s="243"/>
      <c r="D81" s="243"/>
      <c r="E81" s="243"/>
      <c r="F81" s="243"/>
      <c r="G81" s="243"/>
      <c r="H81" s="243"/>
      <c r="I81" s="243"/>
      <c r="J81" s="243"/>
      <c r="K81" s="243"/>
      <c r="L81" s="243"/>
      <c r="M81" s="243"/>
      <c r="N81" s="256"/>
      <c r="P81" s="254">
        <v>70</v>
      </c>
      <c r="Q81" s="242"/>
      <c r="R81" s="243"/>
      <c r="S81" s="243"/>
      <c r="T81" s="243"/>
      <c r="U81" s="243"/>
      <c r="V81" s="243"/>
      <c r="W81" s="243"/>
      <c r="X81" s="243"/>
      <c r="Y81" s="243"/>
      <c r="Z81" s="243"/>
      <c r="AA81" s="243"/>
      <c r="AB81" s="243"/>
      <c r="AC81" s="256"/>
      <c r="AE81" s="254">
        <v>70</v>
      </c>
      <c r="AF81" s="242"/>
      <c r="AG81" s="243"/>
      <c r="AH81" s="243"/>
      <c r="AI81" s="243"/>
      <c r="AJ81" s="243"/>
      <c r="AK81" s="243"/>
      <c r="AL81" s="243"/>
      <c r="AM81" s="243"/>
      <c r="AN81" s="243"/>
      <c r="AO81" s="243"/>
      <c r="AP81" s="243"/>
      <c r="AQ81" s="243"/>
      <c r="AR81" s="256"/>
      <c r="AT81" s="254">
        <v>70</v>
      </c>
      <c r="AU81" s="242"/>
      <c r="AV81" s="243"/>
      <c r="AW81" s="243"/>
      <c r="AX81" s="243"/>
      <c r="AY81" s="243"/>
      <c r="AZ81" s="243"/>
      <c r="BA81" s="243"/>
      <c r="BB81" s="243"/>
      <c r="BC81" s="243"/>
      <c r="BD81" s="243"/>
      <c r="BE81" s="243"/>
      <c r="BF81" s="243"/>
      <c r="BG81" s="256"/>
    </row>
    <row r="82" spans="1:59">
      <c r="A82" s="254">
        <v>71</v>
      </c>
      <c r="B82" s="242"/>
      <c r="C82" s="243"/>
      <c r="D82" s="243"/>
      <c r="E82" s="243"/>
      <c r="F82" s="243"/>
      <c r="G82" s="243"/>
      <c r="H82" s="243"/>
      <c r="I82" s="243"/>
      <c r="J82" s="243"/>
      <c r="K82" s="243"/>
      <c r="L82" s="243"/>
      <c r="M82" s="243"/>
      <c r="N82" s="256"/>
      <c r="P82" s="254">
        <v>71</v>
      </c>
      <c r="Q82" s="242"/>
      <c r="R82" s="243"/>
      <c r="S82" s="243"/>
      <c r="T82" s="243"/>
      <c r="U82" s="243"/>
      <c r="V82" s="243"/>
      <c r="W82" s="243"/>
      <c r="X82" s="243"/>
      <c r="Y82" s="243"/>
      <c r="Z82" s="243"/>
      <c r="AA82" s="243"/>
      <c r="AB82" s="243"/>
      <c r="AC82" s="256"/>
      <c r="AE82" s="254">
        <v>71</v>
      </c>
      <c r="AF82" s="242"/>
      <c r="AG82" s="243"/>
      <c r="AH82" s="243"/>
      <c r="AI82" s="243"/>
      <c r="AJ82" s="243"/>
      <c r="AK82" s="243"/>
      <c r="AL82" s="243"/>
      <c r="AM82" s="243"/>
      <c r="AN82" s="243"/>
      <c r="AO82" s="243"/>
      <c r="AP82" s="243"/>
      <c r="AQ82" s="243"/>
      <c r="AR82" s="256"/>
      <c r="AT82" s="254">
        <v>71</v>
      </c>
      <c r="AU82" s="242"/>
      <c r="AV82" s="243"/>
      <c r="AW82" s="243"/>
      <c r="AX82" s="243"/>
      <c r="AY82" s="243"/>
      <c r="AZ82" s="243"/>
      <c r="BA82" s="243"/>
      <c r="BB82" s="243"/>
      <c r="BC82" s="243"/>
      <c r="BD82" s="243"/>
      <c r="BE82" s="243"/>
      <c r="BF82" s="243"/>
      <c r="BG82" s="256"/>
    </row>
    <row r="83" spans="1:59">
      <c r="A83" s="254">
        <v>72</v>
      </c>
      <c r="B83" s="242"/>
      <c r="C83" s="243"/>
      <c r="D83" s="243"/>
      <c r="E83" s="243"/>
      <c r="F83" s="243"/>
      <c r="G83" s="243"/>
      <c r="H83" s="243"/>
      <c r="I83" s="243"/>
      <c r="J83" s="243"/>
      <c r="K83" s="243"/>
      <c r="L83" s="243"/>
      <c r="M83" s="243"/>
      <c r="N83" s="256"/>
      <c r="P83" s="254">
        <v>72</v>
      </c>
      <c r="Q83" s="242"/>
      <c r="R83" s="243"/>
      <c r="S83" s="243"/>
      <c r="T83" s="243"/>
      <c r="U83" s="243"/>
      <c r="V83" s="243"/>
      <c r="W83" s="243"/>
      <c r="X83" s="243"/>
      <c r="Y83" s="243"/>
      <c r="Z83" s="243"/>
      <c r="AA83" s="243"/>
      <c r="AB83" s="243"/>
      <c r="AC83" s="256"/>
      <c r="AE83" s="254">
        <v>72</v>
      </c>
      <c r="AF83" s="242"/>
      <c r="AG83" s="243"/>
      <c r="AH83" s="243"/>
      <c r="AI83" s="243"/>
      <c r="AJ83" s="243"/>
      <c r="AK83" s="243"/>
      <c r="AL83" s="243"/>
      <c r="AM83" s="243"/>
      <c r="AN83" s="243"/>
      <c r="AO83" s="243"/>
      <c r="AP83" s="243"/>
      <c r="AQ83" s="243"/>
      <c r="AR83" s="256"/>
      <c r="AT83" s="254">
        <v>72</v>
      </c>
      <c r="AU83" s="242"/>
      <c r="AV83" s="243"/>
      <c r="AW83" s="243"/>
      <c r="AX83" s="243"/>
      <c r="AY83" s="243"/>
      <c r="AZ83" s="243"/>
      <c r="BA83" s="243"/>
      <c r="BB83" s="243"/>
      <c r="BC83" s="243"/>
      <c r="BD83" s="243"/>
      <c r="BE83" s="243"/>
      <c r="BF83" s="243"/>
      <c r="BG83" s="256"/>
    </row>
    <row r="84" spans="1:59">
      <c r="A84" s="254">
        <v>73</v>
      </c>
      <c r="B84" s="242"/>
      <c r="C84" s="243"/>
      <c r="D84" s="243"/>
      <c r="E84" s="243"/>
      <c r="F84" s="243"/>
      <c r="G84" s="243"/>
      <c r="H84" s="243"/>
      <c r="I84" s="243"/>
      <c r="J84" s="243"/>
      <c r="K84" s="243"/>
      <c r="L84" s="243"/>
      <c r="M84" s="243"/>
      <c r="N84" s="256"/>
      <c r="P84" s="254">
        <v>73</v>
      </c>
      <c r="Q84" s="242"/>
      <c r="R84" s="243"/>
      <c r="S84" s="243"/>
      <c r="T84" s="243"/>
      <c r="U84" s="243"/>
      <c r="V84" s="243"/>
      <c r="W84" s="243"/>
      <c r="X84" s="243"/>
      <c r="Y84" s="243"/>
      <c r="Z84" s="243"/>
      <c r="AA84" s="243"/>
      <c r="AB84" s="243"/>
      <c r="AC84" s="256"/>
      <c r="AE84" s="254">
        <v>73</v>
      </c>
      <c r="AF84" s="242"/>
      <c r="AG84" s="243"/>
      <c r="AH84" s="243"/>
      <c r="AI84" s="243"/>
      <c r="AJ84" s="243"/>
      <c r="AK84" s="243"/>
      <c r="AL84" s="243"/>
      <c r="AM84" s="243"/>
      <c r="AN84" s="243"/>
      <c r="AO84" s="243"/>
      <c r="AP84" s="243"/>
      <c r="AQ84" s="243"/>
      <c r="AR84" s="256"/>
      <c r="AT84" s="254">
        <v>73</v>
      </c>
      <c r="AU84" s="242"/>
      <c r="AV84" s="243"/>
      <c r="AW84" s="243"/>
      <c r="AX84" s="243"/>
      <c r="AY84" s="243"/>
      <c r="AZ84" s="243"/>
      <c r="BA84" s="243"/>
      <c r="BB84" s="243"/>
      <c r="BC84" s="243"/>
      <c r="BD84" s="243"/>
      <c r="BE84" s="243"/>
      <c r="BF84" s="243"/>
      <c r="BG84" s="256"/>
    </row>
    <row r="85" spans="1:59">
      <c r="A85" s="254">
        <v>74</v>
      </c>
      <c r="B85" s="242"/>
      <c r="C85" s="243"/>
      <c r="D85" s="243"/>
      <c r="E85" s="243"/>
      <c r="F85" s="243"/>
      <c r="G85" s="243"/>
      <c r="H85" s="243"/>
      <c r="I85" s="243"/>
      <c r="J85" s="243"/>
      <c r="K85" s="243"/>
      <c r="L85" s="243"/>
      <c r="M85" s="243"/>
      <c r="N85" s="256"/>
      <c r="P85" s="254">
        <v>74</v>
      </c>
      <c r="Q85" s="242"/>
      <c r="R85" s="243"/>
      <c r="S85" s="243"/>
      <c r="T85" s="243"/>
      <c r="U85" s="243"/>
      <c r="V85" s="243"/>
      <c r="W85" s="243"/>
      <c r="X85" s="243"/>
      <c r="Y85" s="243"/>
      <c r="Z85" s="243"/>
      <c r="AA85" s="243"/>
      <c r="AB85" s="243"/>
      <c r="AC85" s="256"/>
      <c r="AE85" s="254">
        <v>74</v>
      </c>
      <c r="AF85" s="242"/>
      <c r="AG85" s="243"/>
      <c r="AH85" s="243"/>
      <c r="AI85" s="243"/>
      <c r="AJ85" s="243"/>
      <c r="AK85" s="243"/>
      <c r="AL85" s="243"/>
      <c r="AM85" s="243"/>
      <c r="AN85" s="243"/>
      <c r="AO85" s="243"/>
      <c r="AP85" s="243"/>
      <c r="AQ85" s="243"/>
      <c r="AR85" s="256"/>
      <c r="AT85" s="254">
        <v>74</v>
      </c>
      <c r="AU85" s="242"/>
      <c r="AV85" s="243"/>
      <c r="AW85" s="243"/>
      <c r="AX85" s="243"/>
      <c r="AY85" s="243"/>
      <c r="AZ85" s="243"/>
      <c r="BA85" s="243"/>
      <c r="BB85" s="243"/>
      <c r="BC85" s="243"/>
      <c r="BD85" s="243"/>
      <c r="BE85" s="243"/>
      <c r="BF85" s="243"/>
      <c r="BG85" s="256"/>
    </row>
    <row r="86" spans="1:59">
      <c r="A86" s="254">
        <v>75</v>
      </c>
      <c r="B86" s="242"/>
      <c r="C86" s="243"/>
      <c r="D86" s="243"/>
      <c r="E86" s="243"/>
      <c r="F86" s="243"/>
      <c r="G86" s="243"/>
      <c r="H86" s="243"/>
      <c r="I86" s="243"/>
      <c r="J86" s="243"/>
      <c r="K86" s="243"/>
      <c r="L86" s="243"/>
      <c r="M86" s="243"/>
      <c r="N86" s="256"/>
      <c r="P86" s="254">
        <v>75</v>
      </c>
      <c r="Q86" s="242"/>
      <c r="R86" s="243"/>
      <c r="S86" s="243"/>
      <c r="T86" s="243"/>
      <c r="U86" s="243"/>
      <c r="V86" s="243"/>
      <c r="W86" s="243"/>
      <c r="X86" s="243"/>
      <c r="Y86" s="243"/>
      <c r="Z86" s="243"/>
      <c r="AA86" s="243"/>
      <c r="AB86" s="243"/>
      <c r="AC86" s="256"/>
      <c r="AE86" s="254">
        <v>75</v>
      </c>
      <c r="AF86" s="242"/>
      <c r="AG86" s="243"/>
      <c r="AH86" s="243"/>
      <c r="AI86" s="243"/>
      <c r="AJ86" s="243"/>
      <c r="AK86" s="243"/>
      <c r="AL86" s="243"/>
      <c r="AM86" s="243"/>
      <c r="AN86" s="243"/>
      <c r="AO86" s="243"/>
      <c r="AP86" s="243"/>
      <c r="AQ86" s="243"/>
      <c r="AR86" s="256"/>
      <c r="AT86" s="254">
        <v>75</v>
      </c>
      <c r="AU86" s="242"/>
      <c r="AV86" s="243"/>
      <c r="AW86" s="243"/>
      <c r="AX86" s="243"/>
      <c r="AY86" s="243"/>
      <c r="AZ86" s="243"/>
      <c r="BA86" s="243"/>
      <c r="BB86" s="243"/>
      <c r="BC86" s="243"/>
      <c r="BD86" s="243"/>
      <c r="BE86" s="243"/>
      <c r="BF86" s="243"/>
      <c r="BG86" s="256"/>
    </row>
    <row r="87" spans="1:59">
      <c r="A87" s="254">
        <v>76</v>
      </c>
      <c r="B87" s="242"/>
      <c r="C87" s="243"/>
      <c r="D87" s="243"/>
      <c r="E87" s="243"/>
      <c r="F87" s="243"/>
      <c r="G87" s="243"/>
      <c r="H87" s="243"/>
      <c r="I87" s="243"/>
      <c r="J87" s="243"/>
      <c r="K87" s="243"/>
      <c r="L87" s="243"/>
      <c r="M87" s="243"/>
      <c r="N87" s="256"/>
      <c r="P87" s="254">
        <v>76</v>
      </c>
      <c r="Q87" s="242"/>
      <c r="R87" s="243"/>
      <c r="S87" s="243"/>
      <c r="T87" s="243"/>
      <c r="U87" s="243"/>
      <c r="V87" s="243"/>
      <c r="W87" s="243"/>
      <c r="X87" s="243"/>
      <c r="Y87" s="243"/>
      <c r="Z87" s="243"/>
      <c r="AA87" s="243"/>
      <c r="AB87" s="243"/>
      <c r="AC87" s="256"/>
      <c r="AE87" s="254">
        <v>76</v>
      </c>
      <c r="AF87" s="242"/>
      <c r="AG87" s="243"/>
      <c r="AH87" s="243"/>
      <c r="AI87" s="243"/>
      <c r="AJ87" s="243"/>
      <c r="AK87" s="243"/>
      <c r="AL87" s="243"/>
      <c r="AM87" s="243"/>
      <c r="AN87" s="243"/>
      <c r="AO87" s="243"/>
      <c r="AP87" s="243"/>
      <c r="AQ87" s="243"/>
      <c r="AR87" s="256"/>
      <c r="AT87" s="254">
        <v>76</v>
      </c>
      <c r="AU87" s="242"/>
      <c r="AV87" s="243"/>
      <c r="AW87" s="243"/>
      <c r="AX87" s="243"/>
      <c r="AY87" s="243"/>
      <c r="AZ87" s="243"/>
      <c r="BA87" s="243"/>
      <c r="BB87" s="243"/>
      <c r="BC87" s="243"/>
      <c r="BD87" s="243"/>
      <c r="BE87" s="243"/>
      <c r="BF87" s="243"/>
      <c r="BG87" s="256"/>
    </row>
    <row r="88" spans="1:59">
      <c r="A88" s="254">
        <v>77</v>
      </c>
      <c r="B88" s="242"/>
      <c r="C88" s="243"/>
      <c r="D88" s="243"/>
      <c r="E88" s="243"/>
      <c r="F88" s="243"/>
      <c r="G88" s="243"/>
      <c r="H88" s="243"/>
      <c r="I88" s="243"/>
      <c r="J88" s="243"/>
      <c r="K88" s="243"/>
      <c r="L88" s="243"/>
      <c r="M88" s="243"/>
      <c r="N88" s="256"/>
      <c r="P88" s="254">
        <v>77</v>
      </c>
      <c r="Q88" s="242"/>
      <c r="R88" s="243"/>
      <c r="S88" s="243"/>
      <c r="T88" s="243"/>
      <c r="U88" s="243"/>
      <c r="V88" s="243"/>
      <c r="W88" s="243"/>
      <c r="X88" s="243"/>
      <c r="Y88" s="243"/>
      <c r="Z88" s="243"/>
      <c r="AA88" s="243"/>
      <c r="AB88" s="243"/>
      <c r="AC88" s="256"/>
      <c r="AE88" s="254">
        <v>77</v>
      </c>
      <c r="AF88" s="242"/>
      <c r="AG88" s="243"/>
      <c r="AH88" s="243"/>
      <c r="AI88" s="243"/>
      <c r="AJ88" s="243"/>
      <c r="AK88" s="243"/>
      <c r="AL88" s="243"/>
      <c r="AM88" s="243"/>
      <c r="AN88" s="243"/>
      <c r="AO88" s="243"/>
      <c r="AP88" s="243"/>
      <c r="AQ88" s="243"/>
      <c r="AR88" s="256"/>
      <c r="AT88" s="254">
        <v>77</v>
      </c>
      <c r="AU88" s="242"/>
      <c r="AV88" s="243"/>
      <c r="AW88" s="243"/>
      <c r="AX88" s="243"/>
      <c r="AY88" s="243"/>
      <c r="AZ88" s="243"/>
      <c r="BA88" s="243"/>
      <c r="BB88" s="243"/>
      <c r="BC88" s="243"/>
      <c r="BD88" s="243"/>
      <c r="BE88" s="243"/>
      <c r="BF88" s="243"/>
      <c r="BG88" s="256"/>
    </row>
    <row r="89" spans="1:59">
      <c r="A89" s="254">
        <v>78</v>
      </c>
      <c r="B89" s="242"/>
      <c r="C89" s="243"/>
      <c r="D89" s="243"/>
      <c r="E89" s="243"/>
      <c r="F89" s="243"/>
      <c r="G89" s="243"/>
      <c r="H89" s="243"/>
      <c r="I89" s="243"/>
      <c r="J89" s="243"/>
      <c r="K89" s="243"/>
      <c r="L89" s="243"/>
      <c r="M89" s="243"/>
      <c r="N89" s="256"/>
      <c r="P89" s="254">
        <v>78</v>
      </c>
      <c r="Q89" s="242"/>
      <c r="R89" s="243"/>
      <c r="S89" s="243"/>
      <c r="T89" s="243"/>
      <c r="U89" s="243"/>
      <c r="V89" s="243"/>
      <c r="W89" s="243"/>
      <c r="X89" s="243"/>
      <c r="Y89" s="243"/>
      <c r="Z89" s="243"/>
      <c r="AA89" s="243"/>
      <c r="AB89" s="243"/>
      <c r="AC89" s="256"/>
      <c r="AE89" s="254">
        <v>78</v>
      </c>
      <c r="AF89" s="242"/>
      <c r="AG89" s="243"/>
      <c r="AH89" s="243"/>
      <c r="AI89" s="243"/>
      <c r="AJ89" s="243"/>
      <c r="AK89" s="243"/>
      <c r="AL89" s="243"/>
      <c r="AM89" s="243"/>
      <c r="AN89" s="243"/>
      <c r="AO89" s="243"/>
      <c r="AP89" s="243"/>
      <c r="AQ89" s="243"/>
      <c r="AR89" s="256"/>
      <c r="AT89" s="254">
        <v>78</v>
      </c>
      <c r="AU89" s="242"/>
      <c r="AV89" s="243"/>
      <c r="AW89" s="243"/>
      <c r="AX89" s="243"/>
      <c r="AY89" s="243"/>
      <c r="AZ89" s="243"/>
      <c r="BA89" s="243"/>
      <c r="BB89" s="243"/>
      <c r="BC89" s="243"/>
      <c r="BD89" s="243"/>
      <c r="BE89" s="243"/>
      <c r="BF89" s="243"/>
      <c r="BG89" s="256"/>
    </row>
    <row r="90" spans="1:59">
      <c r="A90" s="254">
        <v>79</v>
      </c>
      <c r="B90" s="242"/>
      <c r="C90" s="243"/>
      <c r="D90" s="243"/>
      <c r="E90" s="243"/>
      <c r="F90" s="243"/>
      <c r="G90" s="243"/>
      <c r="H90" s="243"/>
      <c r="I90" s="243"/>
      <c r="J90" s="243"/>
      <c r="K90" s="243"/>
      <c r="L90" s="243"/>
      <c r="M90" s="243"/>
      <c r="N90" s="256"/>
      <c r="P90" s="254">
        <v>79</v>
      </c>
      <c r="Q90" s="242"/>
      <c r="R90" s="243"/>
      <c r="S90" s="243"/>
      <c r="T90" s="243"/>
      <c r="U90" s="243"/>
      <c r="V90" s="243"/>
      <c r="W90" s="243"/>
      <c r="X90" s="243"/>
      <c r="Y90" s="243"/>
      <c r="Z90" s="243"/>
      <c r="AA90" s="243"/>
      <c r="AB90" s="243"/>
      <c r="AC90" s="256"/>
      <c r="AE90" s="254">
        <v>79</v>
      </c>
      <c r="AF90" s="242"/>
      <c r="AG90" s="243"/>
      <c r="AH90" s="243"/>
      <c r="AI90" s="243"/>
      <c r="AJ90" s="243"/>
      <c r="AK90" s="243"/>
      <c r="AL90" s="243"/>
      <c r="AM90" s="243"/>
      <c r="AN90" s="243"/>
      <c r="AO90" s="243"/>
      <c r="AP90" s="243"/>
      <c r="AQ90" s="243"/>
      <c r="AR90" s="256"/>
      <c r="AT90" s="254">
        <v>79</v>
      </c>
      <c r="AU90" s="242"/>
      <c r="AV90" s="243"/>
      <c r="AW90" s="243"/>
      <c r="AX90" s="243"/>
      <c r="AY90" s="243"/>
      <c r="AZ90" s="243"/>
      <c r="BA90" s="243"/>
      <c r="BB90" s="243"/>
      <c r="BC90" s="243"/>
      <c r="BD90" s="243"/>
      <c r="BE90" s="243"/>
      <c r="BF90" s="243"/>
      <c r="BG90" s="256"/>
    </row>
    <row r="91" spans="1:59">
      <c r="A91" s="254">
        <v>80</v>
      </c>
      <c r="B91" s="242"/>
      <c r="C91" s="243"/>
      <c r="D91" s="243"/>
      <c r="E91" s="243"/>
      <c r="F91" s="243"/>
      <c r="G91" s="243"/>
      <c r="H91" s="243"/>
      <c r="I91" s="243"/>
      <c r="J91" s="243"/>
      <c r="K91" s="243"/>
      <c r="L91" s="243"/>
      <c r="M91" s="243"/>
      <c r="N91" s="256"/>
      <c r="P91" s="254">
        <v>80</v>
      </c>
      <c r="Q91" s="242"/>
      <c r="R91" s="243"/>
      <c r="S91" s="243"/>
      <c r="T91" s="243"/>
      <c r="U91" s="243"/>
      <c r="V91" s="243"/>
      <c r="W91" s="243"/>
      <c r="X91" s="243"/>
      <c r="Y91" s="243"/>
      <c r="Z91" s="243"/>
      <c r="AA91" s="243"/>
      <c r="AB91" s="243"/>
      <c r="AC91" s="256"/>
      <c r="AE91" s="254">
        <v>80</v>
      </c>
      <c r="AF91" s="242"/>
      <c r="AG91" s="243"/>
      <c r="AH91" s="243"/>
      <c r="AI91" s="243"/>
      <c r="AJ91" s="243"/>
      <c r="AK91" s="243"/>
      <c r="AL91" s="243"/>
      <c r="AM91" s="243"/>
      <c r="AN91" s="243"/>
      <c r="AO91" s="243"/>
      <c r="AP91" s="243"/>
      <c r="AQ91" s="243"/>
      <c r="AR91" s="256"/>
      <c r="AT91" s="254">
        <v>80</v>
      </c>
      <c r="AU91" s="242"/>
      <c r="AV91" s="243"/>
      <c r="AW91" s="243"/>
      <c r="AX91" s="243"/>
      <c r="AY91" s="243"/>
      <c r="AZ91" s="243"/>
      <c r="BA91" s="243"/>
      <c r="BB91" s="243"/>
      <c r="BC91" s="243"/>
      <c r="BD91" s="243"/>
      <c r="BE91" s="243"/>
      <c r="BF91" s="243"/>
      <c r="BG91" s="256"/>
    </row>
    <row r="92" spans="1:59">
      <c r="A92" s="254">
        <v>81</v>
      </c>
      <c r="B92" s="242"/>
      <c r="C92" s="243"/>
      <c r="D92" s="243"/>
      <c r="E92" s="243"/>
      <c r="F92" s="243"/>
      <c r="G92" s="243"/>
      <c r="H92" s="243"/>
      <c r="I92" s="243"/>
      <c r="J92" s="243"/>
      <c r="K92" s="243"/>
      <c r="L92" s="243"/>
      <c r="M92" s="243"/>
      <c r="N92" s="256"/>
      <c r="P92" s="254">
        <v>81</v>
      </c>
      <c r="Q92" s="242"/>
      <c r="R92" s="243"/>
      <c r="S92" s="243"/>
      <c r="T92" s="243"/>
      <c r="U92" s="243"/>
      <c r="V92" s="243"/>
      <c r="W92" s="243"/>
      <c r="X92" s="243"/>
      <c r="Y92" s="243"/>
      <c r="Z92" s="243"/>
      <c r="AA92" s="243"/>
      <c r="AB92" s="243"/>
      <c r="AC92" s="256"/>
      <c r="AE92" s="254">
        <v>81</v>
      </c>
      <c r="AF92" s="242"/>
      <c r="AG92" s="243"/>
      <c r="AH92" s="243"/>
      <c r="AI92" s="243"/>
      <c r="AJ92" s="243"/>
      <c r="AK92" s="243"/>
      <c r="AL92" s="243"/>
      <c r="AM92" s="243"/>
      <c r="AN92" s="243"/>
      <c r="AO92" s="243"/>
      <c r="AP92" s="243"/>
      <c r="AQ92" s="243"/>
      <c r="AR92" s="256"/>
      <c r="AT92" s="254">
        <v>81</v>
      </c>
      <c r="AU92" s="242"/>
      <c r="AV92" s="243"/>
      <c r="AW92" s="243"/>
      <c r="AX92" s="243"/>
      <c r="AY92" s="243"/>
      <c r="AZ92" s="243"/>
      <c r="BA92" s="243"/>
      <c r="BB92" s="243"/>
      <c r="BC92" s="243"/>
      <c r="BD92" s="243"/>
      <c r="BE92" s="243"/>
      <c r="BF92" s="243"/>
      <c r="BG92" s="256"/>
    </row>
    <row r="93" spans="1:59">
      <c r="A93" s="254">
        <v>82</v>
      </c>
      <c r="B93" s="242"/>
      <c r="C93" s="243"/>
      <c r="D93" s="243"/>
      <c r="E93" s="243"/>
      <c r="F93" s="243"/>
      <c r="G93" s="243"/>
      <c r="H93" s="243"/>
      <c r="I93" s="243"/>
      <c r="J93" s="243"/>
      <c r="K93" s="243"/>
      <c r="L93" s="243"/>
      <c r="M93" s="243"/>
      <c r="N93" s="256"/>
      <c r="P93" s="254">
        <v>82</v>
      </c>
      <c r="Q93" s="242"/>
      <c r="R93" s="243"/>
      <c r="S93" s="243"/>
      <c r="T93" s="243"/>
      <c r="U93" s="243"/>
      <c r="V93" s="243"/>
      <c r="W93" s="243"/>
      <c r="X93" s="243"/>
      <c r="Y93" s="243"/>
      <c r="Z93" s="243"/>
      <c r="AA93" s="243"/>
      <c r="AB93" s="243"/>
      <c r="AC93" s="256"/>
      <c r="AE93" s="254">
        <v>82</v>
      </c>
      <c r="AF93" s="242"/>
      <c r="AG93" s="243"/>
      <c r="AH93" s="243"/>
      <c r="AI93" s="243"/>
      <c r="AJ93" s="243"/>
      <c r="AK93" s="243"/>
      <c r="AL93" s="243"/>
      <c r="AM93" s="243"/>
      <c r="AN93" s="243"/>
      <c r="AO93" s="243"/>
      <c r="AP93" s="243"/>
      <c r="AQ93" s="243"/>
      <c r="AR93" s="256"/>
      <c r="AT93" s="254">
        <v>82</v>
      </c>
      <c r="AU93" s="242"/>
      <c r="AV93" s="243"/>
      <c r="AW93" s="243"/>
      <c r="AX93" s="243"/>
      <c r="AY93" s="243"/>
      <c r="AZ93" s="243"/>
      <c r="BA93" s="243"/>
      <c r="BB93" s="243"/>
      <c r="BC93" s="243"/>
      <c r="BD93" s="243"/>
      <c r="BE93" s="243"/>
      <c r="BF93" s="243"/>
      <c r="BG93" s="256"/>
    </row>
    <row r="94" spans="1:59">
      <c r="A94" s="254">
        <v>83</v>
      </c>
      <c r="B94" s="242"/>
      <c r="C94" s="243"/>
      <c r="D94" s="243"/>
      <c r="E94" s="243"/>
      <c r="F94" s="243"/>
      <c r="G94" s="243"/>
      <c r="H94" s="243"/>
      <c r="I94" s="243"/>
      <c r="J94" s="243"/>
      <c r="K94" s="243"/>
      <c r="L94" s="243"/>
      <c r="M94" s="243"/>
      <c r="N94" s="256"/>
      <c r="P94" s="254">
        <v>83</v>
      </c>
      <c r="Q94" s="242"/>
      <c r="R94" s="243"/>
      <c r="S94" s="243"/>
      <c r="T94" s="243"/>
      <c r="U94" s="243"/>
      <c r="V94" s="243"/>
      <c r="W94" s="243"/>
      <c r="X94" s="243"/>
      <c r="Y94" s="243"/>
      <c r="Z94" s="243"/>
      <c r="AA94" s="243"/>
      <c r="AB94" s="243"/>
      <c r="AC94" s="256"/>
      <c r="AE94" s="254">
        <v>83</v>
      </c>
      <c r="AF94" s="242"/>
      <c r="AG94" s="243"/>
      <c r="AH94" s="243"/>
      <c r="AI94" s="243"/>
      <c r="AJ94" s="243"/>
      <c r="AK94" s="243"/>
      <c r="AL94" s="243"/>
      <c r="AM94" s="243"/>
      <c r="AN94" s="243"/>
      <c r="AO94" s="243"/>
      <c r="AP94" s="243"/>
      <c r="AQ94" s="243"/>
      <c r="AR94" s="256"/>
      <c r="AT94" s="254">
        <v>83</v>
      </c>
      <c r="AU94" s="242"/>
      <c r="AV94" s="243"/>
      <c r="AW94" s="243"/>
      <c r="AX94" s="243"/>
      <c r="AY94" s="243"/>
      <c r="AZ94" s="243"/>
      <c r="BA94" s="243"/>
      <c r="BB94" s="243"/>
      <c r="BC94" s="243"/>
      <c r="BD94" s="243"/>
      <c r="BE94" s="243"/>
      <c r="BF94" s="243"/>
      <c r="BG94" s="256"/>
    </row>
    <row r="95" spans="1:59">
      <c r="A95" s="254">
        <v>84</v>
      </c>
      <c r="B95" s="242"/>
      <c r="C95" s="243"/>
      <c r="D95" s="243"/>
      <c r="E95" s="243"/>
      <c r="F95" s="243"/>
      <c r="G95" s="243"/>
      <c r="H95" s="243"/>
      <c r="I95" s="243"/>
      <c r="J95" s="243"/>
      <c r="K95" s="243"/>
      <c r="L95" s="243"/>
      <c r="M95" s="243"/>
      <c r="N95" s="256"/>
      <c r="P95" s="254">
        <v>84</v>
      </c>
      <c r="Q95" s="242"/>
      <c r="R95" s="243"/>
      <c r="S95" s="243"/>
      <c r="T95" s="243"/>
      <c r="U95" s="243"/>
      <c r="V95" s="243"/>
      <c r="W95" s="243"/>
      <c r="X95" s="243"/>
      <c r="Y95" s="243"/>
      <c r="Z95" s="243"/>
      <c r="AA95" s="243"/>
      <c r="AB95" s="243"/>
      <c r="AC95" s="256"/>
      <c r="AE95" s="254">
        <v>84</v>
      </c>
      <c r="AF95" s="242"/>
      <c r="AG95" s="243"/>
      <c r="AH95" s="243"/>
      <c r="AI95" s="243"/>
      <c r="AJ95" s="243"/>
      <c r="AK95" s="243"/>
      <c r="AL95" s="243"/>
      <c r="AM95" s="243"/>
      <c r="AN95" s="243"/>
      <c r="AO95" s="243"/>
      <c r="AP95" s="243"/>
      <c r="AQ95" s="243"/>
      <c r="AR95" s="256"/>
      <c r="AT95" s="254">
        <v>84</v>
      </c>
      <c r="AU95" s="242"/>
      <c r="AV95" s="243"/>
      <c r="AW95" s="243"/>
      <c r="AX95" s="243"/>
      <c r="AY95" s="243"/>
      <c r="AZ95" s="243"/>
      <c r="BA95" s="243"/>
      <c r="BB95" s="243"/>
      <c r="BC95" s="243"/>
      <c r="BD95" s="243"/>
      <c r="BE95" s="243"/>
      <c r="BF95" s="243"/>
      <c r="BG95" s="256"/>
    </row>
    <row r="96" spans="1:59">
      <c r="A96" s="254">
        <v>85</v>
      </c>
      <c r="B96" s="242"/>
      <c r="C96" s="243"/>
      <c r="D96" s="243"/>
      <c r="E96" s="243"/>
      <c r="F96" s="243"/>
      <c r="G96" s="243"/>
      <c r="H96" s="243"/>
      <c r="I96" s="243"/>
      <c r="J96" s="243"/>
      <c r="K96" s="243"/>
      <c r="L96" s="243"/>
      <c r="M96" s="243"/>
      <c r="N96" s="256"/>
      <c r="P96" s="254">
        <v>85</v>
      </c>
      <c r="Q96" s="242"/>
      <c r="R96" s="243"/>
      <c r="S96" s="243"/>
      <c r="T96" s="243"/>
      <c r="U96" s="243"/>
      <c r="V96" s="243"/>
      <c r="W96" s="243"/>
      <c r="X96" s="243"/>
      <c r="Y96" s="243"/>
      <c r="Z96" s="243"/>
      <c r="AA96" s="243"/>
      <c r="AB96" s="243"/>
      <c r="AC96" s="256"/>
      <c r="AE96" s="254">
        <v>85</v>
      </c>
      <c r="AF96" s="242"/>
      <c r="AG96" s="243"/>
      <c r="AH96" s="243"/>
      <c r="AI96" s="243"/>
      <c r="AJ96" s="243"/>
      <c r="AK96" s="243"/>
      <c r="AL96" s="243"/>
      <c r="AM96" s="243"/>
      <c r="AN96" s="243"/>
      <c r="AO96" s="243"/>
      <c r="AP96" s="243"/>
      <c r="AQ96" s="243"/>
      <c r="AR96" s="256"/>
      <c r="AT96" s="254">
        <v>85</v>
      </c>
      <c r="AU96" s="242"/>
      <c r="AV96" s="243"/>
      <c r="AW96" s="243"/>
      <c r="AX96" s="243"/>
      <c r="AY96" s="243"/>
      <c r="AZ96" s="243"/>
      <c r="BA96" s="243"/>
      <c r="BB96" s="243"/>
      <c r="BC96" s="243"/>
      <c r="BD96" s="243"/>
      <c r="BE96" s="243"/>
      <c r="BF96" s="243"/>
      <c r="BG96" s="256"/>
    </row>
    <row r="97" spans="1:59">
      <c r="A97" s="254">
        <v>86</v>
      </c>
      <c r="B97" s="242"/>
      <c r="C97" s="243"/>
      <c r="D97" s="243"/>
      <c r="E97" s="243"/>
      <c r="F97" s="243"/>
      <c r="G97" s="243"/>
      <c r="H97" s="243"/>
      <c r="I97" s="243"/>
      <c r="J97" s="243"/>
      <c r="K97" s="243"/>
      <c r="L97" s="243"/>
      <c r="M97" s="243"/>
      <c r="N97" s="256"/>
      <c r="P97" s="254">
        <v>86</v>
      </c>
      <c r="Q97" s="242"/>
      <c r="R97" s="243"/>
      <c r="S97" s="243"/>
      <c r="T97" s="243"/>
      <c r="U97" s="243"/>
      <c r="V97" s="243"/>
      <c r="W97" s="243"/>
      <c r="X97" s="243"/>
      <c r="Y97" s="243"/>
      <c r="Z97" s="243"/>
      <c r="AA97" s="243"/>
      <c r="AB97" s="243"/>
      <c r="AC97" s="256"/>
      <c r="AE97" s="254">
        <v>86</v>
      </c>
      <c r="AF97" s="242"/>
      <c r="AG97" s="243"/>
      <c r="AH97" s="243"/>
      <c r="AI97" s="243"/>
      <c r="AJ97" s="243"/>
      <c r="AK97" s="243"/>
      <c r="AL97" s="243"/>
      <c r="AM97" s="243"/>
      <c r="AN97" s="243"/>
      <c r="AO97" s="243"/>
      <c r="AP97" s="243"/>
      <c r="AQ97" s="243"/>
      <c r="AR97" s="256"/>
      <c r="AT97" s="254">
        <v>86</v>
      </c>
      <c r="AU97" s="242"/>
      <c r="AV97" s="243"/>
      <c r="AW97" s="243"/>
      <c r="AX97" s="243"/>
      <c r="AY97" s="243"/>
      <c r="AZ97" s="243"/>
      <c r="BA97" s="243"/>
      <c r="BB97" s="243"/>
      <c r="BC97" s="243"/>
      <c r="BD97" s="243"/>
      <c r="BE97" s="243"/>
      <c r="BF97" s="243"/>
      <c r="BG97" s="256"/>
    </row>
    <row r="98" spans="1:59">
      <c r="A98" s="254">
        <v>87</v>
      </c>
      <c r="B98" s="242"/>
      <c r="C98" s="243"/>
      <c r="D98" s="243"/>
      <c r="E98" s="243"/>
      <c r="F98" s="243"/>
      <c r="G98" s="243"/>
      <c r="H98" s="243"/>
      <c r="I98" s="243"/>
      <c r="J98" s="243"/>
      <c r="K98" s="243"/>
      <c r="L98" s="243"/>
      <c r="M98" s="243"/>
      <c r="N98" s="256"/>
      <c r="P98" s="254">
        <v>87</v>
      </c>
      <c r="Q98" s="242"/>
      <c r="R98" s="243"/>
      <c r="S98" s="243"/>
      <c r="T98" s="243"/>
      <c r="U98" s="243"/>
      <c r="V98" s="243"/>
      <c r="W98" s="243"/>
      <c r="X98" s="243"/>
      <c r="Y98" s="243"/>
      <c r="Z98" s="243"/>
      <c r="AA98" s="243"/>
      <c r="AB98" s="243"/>
      <c r="AC98" s="256"/>
      <c r="AE98" s="254">
        <v>87</v>
      </c>
      <c r="AF98" s="242"/>
      <c r="AG98" s="243"/>
      <c r="AH98" s="243"/>
      <c r="AI98" s="243"/>
      <c r="AJ98" s="243"/>
      <c r="AK98" s="243"/>
      <c r="AL98" s="243"/>
      <c r="AM98" s="243"/>
      <c r="AN98" s="243"/>
      <c r="AO98" s="243"/>
      <c r="AP98" s="243"/>
      <c r="AQ98" s="243"/>
      <c r="AR98" s="256"/>
      <c r="AT98" s="254">
        <v>87</v>
      </c>
      <c r="AU98" s="242"/>
      <c r="AV98" s="243"/>
      <c r="AW98" s="243"/>
      <c r="AX98" s="243"/>
      <c r="AY98" s="243"/>
      <c r="AZ98" s="243"/>
      <c r="BA98" s="243"/>
      <c r="BB98" s="243"/>
      <c r="BC98" s="243"/>
      <c r="BD98" s="243"/>
      <c r="BE98" s="243"/>
      <c r="BF98" s="243"/>
      <c r="BG98" s="256"/>
    </row>
    <row r="99" spans="1:59">
      <c r="A99" s="254">
        <v>88</v>
      </c>
      <c r="B99" s="242"/>
      <c r="C99" s="243"/>
      <c r="D99" s="243"/>
      <c r="E99" s="243"/>
      <c r="F99" s="243"/>
      <c r="G99" s="243"/>
      <c r="H99" s="243"/>
      <c r="I99" s="243"/>
      <c r="J99" s="243"/>
      <c r="K99" s="243"/>
      <c r="L99" s="243"/>
      <c r="M99" s="243"/>
      <c r="N99" s="256"/>
      <c r="P99" s="254">
        <v>88</v>
      </c>
      <c r="Q99" s="242"/>
      <c r="R99" s="243"/>
      <c r="S99" s="243"/>
      <c r="T99" s="243"/>
      <c r="U99" s="243"/>
      <c r="V99" s="243"/>
      <c r="W99" s="243"/>
      <c r="X99" s="243"/>
      <c r="Y99" s="243"/>
      <c r="Z99" s="243"/>
      <c r="AA99" s="243"/>
      <c r="AB99" s="243"/>
      <c r="AC99" s="256"/>
      <c r="AE99" s="254">
        <v>88</v>
      </c>
      <c r="AF99" s="242"/>
      <c r="AG99" s="243"/>
      <c r="AH99" s="243"/>
      <c r="AI99" s="243"/>
      <c r="AJ99" s="243"/>
      <c r="AK99" s="243"/>
      <c r="AL99" s="243"/>
      <c r="AM99" s="243"/>
      <c r="AN99" s="243"/>
      <c r="AO99" s="243"/>
      <c r="AP99" s="243"/>
      <c r="AQ99" s="243"/>
      <c r="AR99" s="256"/>
      <c r="AT99" s="254">
        <v>88</v>
      </c>
      <c r="AU99" s="242"/>
      <c r="AV99" s="243"/>
      <c r="AW99" s="243"/>
      <c r="AX99" s="243"/>
      <c r="AY99" s="243"/>
      <c r="AZ99" s="243"/>
      <c r="BA99" s="243"/>
      <c r="BB99" s="243"/>
      <c r="BC99" s="243"/>
      <c r="BD99" s="243"/>
      <c r="BE99" s="243"/>
      <c r="BF99" s="243"/>
      <c r="BG99" s="256"/>
    </row>
    <row r="100" spans="1:59">
      <c r="A100" s="254">
        <v>89</v>
      </c>
      <c r="B100" s="242"/>
      <c r="C100" s="243"/>
      <c r="D100" s="243"/>
      <c r="E100" s="243"/>
      <c r="F100" s="243"/>
      <c r="G100" s="243"/>
      <c r="H100" s="243"/>
      <c r="I100" s="243"/>
      <c r="J100" s="243"/>
      <c r="K100" s="243"/>
      <c r="L100" s="243"/>
      <c r="M100" s="243"/>
      <c r="N100" s="256"/>
      <c r="P100" s="254">
        <v>89</v>
      </c>
      <c r="Q100" s="242"/>
      <c r="R100" s="243"/>
      <c r="S100" s="243"/>
      <c r="T100" s="243"/>
      <c r="U100" s="243"/>
      <c r="V100" s="243"/>
      <c r="W100" s="243"/>
      <c r="X100" s="243"/>
      <c r="Y100" s="243"/>
      <c r="Z100" s="243"/>
      <c r="AA100" s="243"/>
      <c r="AB100" s="243"/>
      <c r="AC100" s="256"/>
      <c r="AE100" s="254">
        <v>89</v>
      </c>
      <c r="AF100" s="242"/>
      <c r="AG100" s="243"/>
      <c r="AH100" s="243"/>
      <c r="AI100" s="243"/>
      <c r="AJ100" s="243"/>
      <c r="AK100" s="243"/>
      <c r="AL100" s="243"/>
      <c r="AM100" s="243"/>
      <c r="AN100" s="243"/>
      <c r="AO100" s="243"/>
      <c r="AP100" s="243"/>
      <c r="AQ100" s="243"/>
      <c r="AR100" s="256"/>
      <c r="AT100" s="254">
        <v>89</v>
      </c>
      <c r="AU100" s="242"/>
      <c r="AV100" s="243"/>
      <c r="AW100" s="243"/>
      <c r="AX100" s="243"/>
      <c r="AY100" s="243"/>
      <c r="AZ100" s="243"/>
      <c r="BA100" s="243"/>
      <c r="BB100" s="243"/>
      <c r="BC100" s="243"/>
      <c r="BD100" s="243"/>
      <c r="BE100" s="243"/>
      <c r="BF100" s="243"/>
      <c r="BG100" s="256"/>
    </row>
    <row r="101" spans="1:59">
      <c r="A101" s="254">
        <v>90</v>
      </c>
      <c r="B101" s="242"/>
      <c r="C101" s="243"/>
      <c r="D101" s="243"/>
      <c r="E101" s="243"/>
      <c r="F101" s="243"/>
      <c r="G101" s="243"/>
      <c r="H101" s="243"/>
      <c r="I101" s="243"/>
      <c r="J101" s="243"/>
      <c r="K101" s="243"/>
      <c r="L101" s="243"/>
      <c r="M101" s="243"/>
      <c r="N101" s="256"/>
      <c r="P101" s="254">
        <v>90</v>
      </c>
      <c r="Q101" s="242"/>
      <c r="R101" s="243"/>
      <c r="S101" s="243"/>
      <c r="T101" s="243"/>
      <c r="U101" s="243"/>
      <c r="V101" s="243"/>
      <c r="W101" s="243"/>
      <c r="X101" s="243"/>
      <c r="Y101" s="243"/>
      <c r="Z101" s="243"/>
      <c r="AA101" s="243"/>
      <c r="AB101" s="243"/>
      <c r="AC101" s="256"/>
      <c r="AE101" s="254">
        <v>90</v>
      </c>
      <c r="AF101" s="242"/>
      <c r="AG101" s="243"/>
      <c r="AH101" s="243"/>
      <c r="AI101" s="243"/>
      <c r="AJ101" s="243"/>
      <c r="AK101" s="243"/>
      <c r="AL101" s="243"/>
      <c r="AM101" s="243"/>
      <c r="AN101" s="243"/>
      <c r="AO101" s="243"/>
      <c r="AP101" s="243"/>
      <c r="AQ101" s="243"/>
      <c r="AR101" s="256"/>
      <c r="AT101" s="254">
        <v>90</v>
      </c>
      <c r="AU101" s="242"/>
      <c r="AV101" s="243"/>
      <c r="AW101" s="243"/>
      <c r="AX101" s="243"/>
      <c r="AY101" s="243"/>
      <c r="AZ101" s="243"/>
      <c r="BA101" s="243"/>
      <c r="BB101" s="243"/>
      <c r="BC101" s="243"/>
      <c r="BD101" s="243"/>
      <c r="BE101" s="243"/>
      <c r="BF101" s="243"/>
      <c r="BG101" s="256"/>
    </row>
    <row r="102" spans="1:59">
      <c r="A102" s="254">
        <v>91</v>
      </c>
      <c r="B102" s="242"/>
      <c r="C102" s="243"/>
      <c r="D102" s="243"/>
      <c r="E102" s="243"/>
      <c r="F102" s="243"/>
      <c r="G102" s="243"/>
      <c r="H102" s="243"/>
      <c r="I102" s="243"/>
      <c r="J102" s="243"/>
      <c r="K102" s="243"/>
      <c r="L102" s="243"/>
      <c r="M102" s="243"/>
      <c r="N102" s="256"/>
      <c r="P102" s="254">
        <v>91</v>
      </c>
      <c r="Q102" s="242"/>
      <c r="R102" s="243"/>
      <c r="S102" s="243"/>
      <c r="T102" s="243"/>
      <c r="U102" s="243"/>
      <c r="V102" s="243"/>
      <c r="W102" s="243"/>
      <c r="X102" s="243"/>
      <c r="Y102" s="243"/>
      <c r="Z102" s="243"/>
      <c r="AA102" s="243"/>
      <c r="AB102" s="243"/>
      <c r="AC102" s="256"/>
      <c r="AE102" s="254">
        <v>91</v>
      </c>
      <c r="AF102" s="242"/>
      <c r="AG102" s="243"/>
      <c r="AH102" s="243"/>
      <c r="AI102" s="243"/>
      <c r="AJ102" s="243"/>
      <c r="AK102" s="243"/>
      <c r="AL102" s="243"/>
      <c r="AM102" s="243"/>
      <c r="AN102" s="243"/>
      <c r="AO102" s="243"/>
      <c r="AP102" s="243"/>
      <c r="AQ102" s="243"/>
      <c r="AR102" s="256"/>
      <c r="AT102" s="254">
        <v>91</v>
      </c>
      <c r="AU102" s="242"/>
      <c r="AV102" s="243"/>
      <c r="AW102" s="243"/>
      <c r="AX102" s="243"/>
      <c r="AY102" s="243"/>
      <c r="AZ102" s="243"/>
      <c r="BA102" s="243"/>
      <c r="BB102" s="243"/>
      <c r="BC102" s="243"/>
      <c r="BD102" s="243"/>
      <c r="BE102" s="243"/>
      <c r="BF102" s="243"/>
      <c r="BG102" s="256"/>
    </row>
    <row r="103" spans="1:59">
      <c r="A103" s="254">
        <v>92</v>
      </c>
      <c r="B103" s="242"/>
      <c r="C103" s="243"/>
      <c r="D103" s="243"/>
      <c r="E103" s="243"/>
      <c r="F103" s="243"/>
      <c r="G103" s="243"/>
      <c r="H103" s="243"/>
      <c r="I103" s="243"/>
      <c r="J103" s="243"/>
      <c r="K103" s="243"/>
      <c r="L103" s="243"/>
      <c r="M103" s="243"/>
      <c r="N103" s="256"/>
      <c r="P103" s="254">
        <v>92</v>
      </c>
      <c r="Q103" s="242"/>
      <c r="R103" s="243"/>
      <c r="S103" s="243"/>
      <c r="T103" s="243"/>
      <c r="U103" s="243"/>
      <c r="V103" s="243"/>
      <c r="W103" s="243"/>
      <c r="X103" s="243"/>
      <c r="Y103" s="243"/>
      <c r="Z103" s="243"/>
      <c r="AA103" s="243"/>
      <c r="AB103" s="243"/>
      <c r="AC103" s="256"/>
      <c r="AE103" s="254">
        <v>92</v>
      </c>
      <c r="AF103" s="242"/>
      <c r="AG103" s="243"/>
      <c r="AH103" s="243"/>
      <c r="AI103" s="243"/>
      <c r="AJ103" s="243"/>
      <c r="AK103" s="243"/>
      <c r="AL103" s="243"/>
      <c r="AM103" s="243"/>
      <c r="AN103" s="243"/>
      <c r="AO103" s="243"/>
      <c r="AP103" s="243"/>
      <c r="AQ103" s="243"/>
      <c r="AR103" s="256"/>
      <c r="AT103" s="254">
        <v>92</v>
      </c>
      <c r="AU103" s="242"/>
      <c r="AV103" s="243"/>
      <c r="AW103" s="243"/>
      <c r="AX103" s="243"/>
      <c r="AY103" s="243"/>
      <c r="AZ103" s="243"/>
      <c r="BA103" s="243"/>
      <c r="BB103" s="243"/>
      <c r="BC103" s="243"/>
      <c r="BD103" s="243"/>
      <c r="BE103" s="243"/>
      <c r="BF103" s="243"/>
      <c r="BG103" s="256"/>
    </row>
    <row r="104" spans="1:59">
      <c r="A104" s="254">
        <v>93</v>
      </c>
      <c r="B104" s="242"/>
      <c r="C104" s="243"/>
      <c r="D104" s="243"/>
      <c r="E104" s="243"/>
      <c r="F104" s="243"/>
      <c r="G104" s="243"/>
      <c r="H104" s="243"/>
      <c r="I104" s="243"/>
      <c r="J104" s="243"/>
      <c r="K104" s="243"/>
      <c r="L104" s="243"/>
      <c r="M104" s="243"/>
      <c r="N104" s="256"/>
      <c r="P104" s="254">
        <v>93</v>
      </c>
      <c r="Q104" s="242"/>
      <c r="R104" s="243"/>
      <c r="S104" s="243"/>
      <c r="T104" s="243"/>
      <c r="U104" s="243"/>
      <c r="V104" s="243"/>
      <c r="W104" s="243"/>
      <c r="X104" s="243"/>
      <c r="Y104" s="243"/>
      <c r="Z104" s="243"/>
      <c r="AA104" s="243"/>
      <c r="AB104" s="243"/>
      <c r="AC104" s="256"/>
      <c r="AE104" s="254">
        <v>93</v>
      </c>
      <c r="AF104" s="242"/>
      <c r="AG104" s="243"/>
      <c r="AH104" s="243"/>
      <c r="AI104" s="243"/>
      <c r="AJ104" s="243"/>
      <c r="AK104" s="243"/>
      <c r="AL104" s="243"/>
      <c r="AM104" s="243"/>
      <c r="AN104" s="243"/>
      <c r="AO104" s="243"/>
      <c r="AP104" s="243"/>
      <c r="AQ104" s="243"/>
      <c r="AR104" s="256"/>
      <c r="AT104" s="254">
        <v>93</v>
      </c>
      <c r="AU104" s="242"/>
      <c r="AV104" s="243"/>
      <c r="AW104" s="243"/>
      <c r="AX104" s="243"/>
      <c r="AY104" s="243"/>
      <c r="AZ104" s="243"/>
      <c r="BA104" s="243"/>
      <c r="BB104" s="243"/>
      <c r="BC104" s="243"/>
      <c r="BD104" s="243"/>
      <c r="BE104" s="243"/>
      <c r="BF104" s="243"/>
      <c r="BG104" s="256"/>
    </row>
    <row r="105" spans="1:59">
      <c r="A105" s="254">
        <v>94</v>
      </c>
      <c r="B105" s="242"/>
      <c r="C105" s="243"/>
      <c r="D105" s="243"/>
      <c r="E105" s="243"/>
      <c r="F105" s="243"/>
      <c r="G105" s="243"/>
      <c r="H105" s="243"/>
      <c r="I105" s="243"/>
      <c r="J105" s="243"/>
      <c r="K105" s="243"/>
      <c r="L105" s="243"/>
      <c r="M105" s="243"/>
      <c r="N105" s="256"/>
      <c r="P105" s="254">
        <v>94</v>
      </c>
      <c r="Q105" s="242"/>
      <c r="R105" s="243"/>
      <c r="S105" s="243"/>
      <c r="T105" s="243"/>
      <c r="U105" s="243"/>
      <c r="V105" s="243"/>
      <c r="W105" s="243"/>
      <c r="X105" s="243"/>
      <c r="Y105" s="243"/>
      <c r="Z105" s="243"/>
      <c r="AA105" s="243"/>
      <c r="AB105" s="243"/>
      <c r="AC105" s="256"/>
      <c r="AE105" s="254">
        <v>94</v>
      </c>
      <c r="AF105" s="242"/>
      <c r="AG105" s="243"/>
      <c r="AH105" s="243"/>
      <c r="AI105" s="243"/>
      <c r="AJ105" s="243"/>
      <c r="AK105" s="243"/>
      <c r="AL105" s="243"/>
      <c r="AM105" s="243"/>
      <c r="AN105" s="243"/>
      <c r="AO105" s="243"/>
      <c r="AP105" s="243"/>
      <c r="AQ105" s="243"/>
      <c r="AR105" s="256"/>
      <c r="AT105" s="254">
        <v>94</v>
      </c>
      <c r="AU105" s="242"/>
      <c r="AV105" s="243"/>
      <c r="AW105" s="243"/>
      <c r="AX105" s="243"/>
      <c r="AY105" s="243"/>
      <c r="AZ105" s="243"/>
      <c r="BA105" s="243"/>
      <c r="BB105" s="243"/>
      <c r="BC105" s="243"/>
      <c r="BD105" s="243"/>
      <c r="BE105" s="243"/>
      <c r="BF105" s="243"/>
      <c r="BG105" s="256"/>
    </row>
    <row r="106" spans="1:59">
      <c r="A106" s="254">
        <v>95</v>
      </c>
      <c r="B106" s="242"/>
      <c r="C106" s="243"/>
      <c r="D106" s="243"/>
      <c r="E106" s="243"/>
      <c r="F106" s="243"/>
      <c r="G106" s="243"/>
      <c r="H106" s="243"/>
      <c r="I106" s="243"/>
      <c r="J106" s="243"/>
      <c r="K106" s="243"/>
      <c r="L106" s="243"/>
      <c r="M106" s="243"/>
      <c r="N106" s="256"/>
      <c r="P106" s="254">
        <v>95</v>
      </c>
      <c r="Q106" s="242"/>
      <c r="R106" s="243"/>
      <c r="S106" s="243"/>
      <c r="T106" s="243"/>
      <c r="U106" s="243"/>
      <c r="V106" s="243"/>
      <c r="W106" s="243"/>
      <c r="X106" s="243"/>
      <c r="Y106" s="243"/>
      <c r="Z106" s="243"/>
      <c r="AA106" s="243"/>
      <c r="AB106" s="243"/>
      <c r="AC106" s="256"/>
      <c r="AE106" s="254">
        <v>95</v>
      </c>
      <c r="AF106" s="242"/>
      <c r="AG106" s="243"/>
      <c r="AH106" s="243"/>
      <c r="AI106" s="243"/>
      <c r="AJ106" s="243"/>
      <c r="AK106" s="243"/>
      <c r="AL106" s="243"/>
      <c r="AM106" s="243"/>
      <c r="AN106" s="243"/>
      <c r="AO106" s="243"/>
      <c r="AP106" s="243"/>
      <c r="AQ106" s="243"/>
      <c r="AR106" s="256"/>
      <c r="AT106" s="254">
        <v>95</v>
      </c>
      <c r="AU106" s="242"/>
      <c r="AV106" s="243"/>
      <c r="AW106" s="243"/>
      <c r="AX106" s="243"/>
      <c r="AY106" s="243"/>
      <c r="AZ106" s="243"/>
      <c r="BA106" s="243"/>
      <c r="BB106" s="243"/>
      <c r="BC106" s="243"/>
      <c r="BD106" s="243"/>
      <c r="BE106" s="243"/>
      <c r="BF106" s="243"/>
      <c r="BG106" s="256"/>
    </row>
    <row r="107" spans="1:59">
      <c r="A107" s="254">
        <v>96</v>
      </c>
      <c r="B107" s="242"/>
      <c r="C107" s="243"/>
      <c r="D107" s="243"/>
      <c r="E107" s="243"/>
      <c r="F107" s="243"/>
      <c r="G107" s="243"/>
      <c r="H107" s="243"/>
      <c r="I107" s="243"/>
      <c r="J107" s="243"/>
      <c r="K107" s="243"/>
      <c r="L107" s="243"/>
      <c r="M107" s="243"/>
      <c r="N107" s="256"/>
      <c r="P107" s="254">
        <v>96</v>
      </c>
      <c r="Q107" s="242"/>
      <c r="R107" s="243"/>
      <c r="S107" s="243"/>
      <c r="T107" s="243"/>
      <c r="U107" s="243"/>
      <c r="V107" s="243"/>
      <c r="W107" s="243"/>
      <c r="X107" s="243"/>
      <c r="Y107" s="243"/>
      <c r="Z107" s="243"/>
      <c r="AA107" s="243"/>
      <c r="AB107" s="243"/>
      <c r="AC107" s="256"/>
      <c r="AE107" s="254">
        <v>96</v>
      </c>
      <c r="AF107" s="242"/>
      <c r="AG107" s="243"/>
      <c r="AH107" s="243"/>
      <c r="AI107" s="243"/>
      <c r="AJ107" s="243"/>
      <c r="AK107" s="243"/>
      <c r="AL107" s="243"/>
      <c r="AM107" s="243"/>
      <c r="AN107" s="243"/>
      <c r="AO107" s="243"/>
      <c r="AP107" s="243"/>
      <c r="AQ107" s="243"/>
      <c r="AR107" s="256"/>
      <c r="AT107" s="254">
        <v>96</v>
      </c>
      <c r="AU107" s="242"/>
      <c r="AV107" s="243"/>
      <c r="AW107" s="243"/>
      <c r="AX107" s="243"/>
      <c r="AY107" s="243"/>
      <c r="AZ107" s="243"/>
      <c r="BA107" s="243"/>
      <c r="BB107" s="243"/>
      <c r="BC107" s="243"/>
      <c r="BD107" s="243"/>
      <c r="BE107" s="243"/>
      <c r="BF107" s="243"/>
      <c r="BG107" s="256"/>
    </row>
    <row r="108" spans="1:59">
      <c r="A108" s="254">
        <v>97</v>
      </c>
      <c r="B108" s="242"/>
      <c r="C108" s="243"/>
      <c r="D108" s="243"/>
      <c r="E108" s="243"/>
      <c r="F108" s="243"/>
      <c r="G108" s="243"/>
      <c r="H108" s="243"/>
      <c r="I108" s="243"/>
      <c r="J108" s="243"/>
      <c r="K108" s="243"/>
      <c r="L108" s="243"/>
      <c r="M108" s="243"/>
      <c r="N108" s="256"/>
      <c r="P108" s="254">
        <v>97</v>
      </c>
      <c r="Q108" s="242"/>
      <c r="R108" s="243"/>
      <c r="S108" s="243"/>
      <c r="T108" s="243"/>
      <c r="U108" s="243"/>
      <c r="V108" s="243"/>
      <c r="W108" s="243"/>
      <c r="X108" s="243"/>
      <c r="Y108" s="243"/>
      <c r="Z108" s="243"/>
      <c r="AA108" s="243"/>
      <c r="AB108" s="243"/>
      <c r="AC108" s="256"/>
      <c r="AE108" s="254">
        <v>97</v>
      </c>
      <c r="AF108" s="242"/>
      <c r="AG108" s="243"/>
      <c r="AH108" s="243"/>
      <c r="AI108" s="243"/>
      <c r="AJ108" s="243"/>
      <c r="AK108" s="243"/>
      <c r="AL108" s="243"/>
      <c r="AM108" s="243"/>
      <c r="AN108" s="243"/>
      <c r="AO108" s="243"/>
      <c r="AP108" s="243"/>
      <c r="AQ108" s="243"/>
      <c r="AR108" s="256"/>
      <c r="AT108" s="254">
        <v>97</v>
      </c>
      <c r="AU108" s="242"/>
      <c r="AV108" s="243"/>
      <c r="AW108" s="243"/>
      <c r="AX108" s="243"/>
      <c r="AY108" s="243"/>
      <c r="AZ108" s="243"/>
      <c r="BA108" s="243"/>
      <c r="BB108" s="243"/>
      <c r="BC108" s="243"/>
      <c r="BD108" s="243"/>
      <c r="BE108" s="243"/>
      <c r="BF108" s="243"/>
      <c r="BG108" s="256"/>
    </row>
    <row r="109" spans="1:59">
      <c r="A109" s="254">
        <v>98</v>
      </c>
      <c r="B109" s="242"/>
      <c r="C109" s="243"/>
      <c r="D109" s="243"/>
      <c r="E109" s="243"/>
      <c r="F109" s="243"/>
      <c r="G109" s="243"/>
      <c r="H109" s="243"/>
      <c r="I109" s="243"/>
      <c r="J109" s="243"/>
      <c r="K109" s="243"/>
      <c r="L109" s="243"/>
      <c r="M109" s="243"/>
      <c r="N109" s="256"/>
      <c r="P109" s="254">
        <v>98</v>
      </c>
      <c r="Q109" s="242"/>
      <c r="R109" s="243"/>
      <c r="S109" s="243"/>
      <c r="T109" s="243"/>
      <c r="U109" s="243"/>
      <c r="V109" s="243"/>
      <c r="W109" s="243"/>
      <c r="X109" s="243"/>
      <c r="Y109" s="243"/>
      <c r="Z109" s="243"/>
      <c r="AA109" s="243"/>
      <c r="AB109" s="243"/>
      <c r="AC109" s="256"/>
      <c r="AE109" s="254">
        <v>98</v>
      </c>
      <c r="AF109" s="242"/>
      <c r="AG109" s="243"/>
      <c r="AH109" s="243"/>
      <c r="AI109" s="243"/>
      <c r="AJ109" s="243"/>
      <c r="AK109" s="243"/>
      <c r="AL109" s="243"/>
      <c r="AM109" s="243"/>
      <c r="AN109" s="243"/>
      <c r="AO109" s="243"/>
      <c r="AP109" s="243"/>
      <c r="AQ109" s="243"/>
      <c r="AR109" s="256"/>
      <c r="AT109" s="254">
        <v>98</v>
      </c>
      <c r="AU109" s="242"/>
      <c r="AV109" s="243"/>
      <c r="AW109" s="243"/>
      <c r="AX109" s="243"/>
      <c r="AY109" s="243"/>
      <c r="AZ109" s="243"/>
      <c r="BA109" s="243"/>
      <c r="BB109" s="243"/>
      <c r="BC109" s="243"/>
      <c r="BD109" s="243"/>
      <c r="BE109" s="243"/>
      <c r="BF109" s="243"/>
      <c r="BG109" s="256"/>
    </row>
    <row r="110" spans="1:59">
      <c r="A110" s="254">
        <v>99</v>
      </c>
      <c r="B110" s="242"/>
      <c r="C110" s="243"/>
      <c r="D110" s="243"/>
      <c r="E110" s="243"/>
      <c r="F110" s="243"/>
      <c r="G110" s="243"/>
      <c r="H110" s="243"/>
      <c r="I110" s="243"/>
      <c r="J110" s="243"/>
      <c r="K110" s="243"/>
      <c r="L110" s="243"/>
      <c r="M110" s="243"/>
      <c r="N110" s="256"/>
      <c r="P110" s="254">
        <v>99</v>
      </c>
      <c r="Q110" s="242"/>
      <c r="R110" s="243"/>
      <c r="S110" s="243"/>
      <c r="T110" s="243"/>
      <c r="U110" s="243"/>
      <c r="V110" s="243"/>
      <c r="W110" s="243"/>
      <c r="X110" s="243"/>
      <c r="Y110" s="243"/>
      <c r="Z110" s="243"/>
      <c r="AA110" s="243"/>
      <c r="AB110" s="243"/>
      <c r="AC110" s="256"/>
      <c r="AE110" s="254">
        <v>99</v>
      </c>
      <c r="AF110" s="242"/>
      <c r="AG110" s="243"/>
      <c r="AH110" s="243"/>
      <c r="AI110" s="243"/>
      <c r="AJ110" s="243"/>
      <c r="AK110" s="243"/>
      <c r="AL110" s="243"/>
      <c r="AM110" s="243"/>
      <c r="AN110" s="243"/>
      <c r="AO110" s="243"/>
      <c r="AP110" s="243"/>
      <c r="AQ110" s="243"/>
      <c r="AR110" s="256"/>
      <c r="AT110" s="254">
        <v>99</v>
      </c>
      <c r="AU110" s="242"/>
      <c r="AV110" s="243"/>
      <c r="AW110" s="243"/>
      <c r="AX110" s="243"/>
      <c r="AY110" s="243"/>
      <c r="AZ110" s="243"/>
      <c r="BA110" s="243"/>
      <c r="BB110" s="243"/>
      <c r="BC110" s="243"/>
      <c r="BD110" s="243"/>
      <c r="BE110" s="243"/>
      <c r="BF110" s="243"/>
      <c r="BG110" s="256"/>
    </row>
    <row r="111" spans="1:59">
      <c r="A111" s="257">
        <v>100</v>
      </c>
      <c r="B111" s="248"/>
      <c r="C111" s="249"/>
      <c r="D111" s="249"/>
      <c r="E111" s="249"/>
      <c r="F111" s="249"/>
      <c r="G111" s="249"/>
      <c r="H111" s="249"/>
      <c r="I111" s="249"/>
      <c r="J111" s="249"/>
      <c r="K111" s="249"/>
      <c r="L111" s="249"/>
      <c r="M111" s="249"/>
      <c r="N111" s="258"/>
      <c r="P111" s="257">
        <v>100</v>
      </c>
      <c r="Q111" s="248"/>
      <c r="R111" s="249"/>
      <c r="S111" s="249"/>
      <c r="T111" s="249"/>
      <c r="U111" s="249"/>
      <c r="V111" s="249"/>
      <c r="W111" s="249"/>
      <c r="X111" s="249"/>
      <c r="Y111" s="249"/>
      <c r="Z111" s="249"/>
      <c r="AA111" s="249"/>
      <c r="AB111" s="249"/>
      <c r="AC111" s="258"/>
      <c r="AE111" s="257">
        <v>100</v>
      </c>
      <c r="AF111" s="248"/>
      <c r="AG111" s="249"/>
      <c r="AH111" s="249"/>
      <c r="AI111" s="249"/>
      <c r="AJ111" s="249"/>
      <c r="AK111" s="249"/>
      <c r="AL111" s="249"/>
      <c r="AM111" s="249"/>
      <c r="AN111" s="249"/>
      <c r="AO111" s="249"/>
      <c r="AP111" s="249"/>
      <c r="AQ111" s="249"/>
      <c r="AR111" s="258"/>
      <c r="AT111" s="257">
        <v>100</v>
      </c>
      <c r="AU111" s="248"/>
      <c r="AV111" s="249"/>
      <c r="AW111" s="249"/>
      <c r="AX111" s="249"/>
      <c r="AY111" s="249"/>
      <c r="AZ111" s="249"/>
      <c r="BA111" s="249"/>
      <c r="BB111" s="249"/>
      <c r="BC111" s="249"/>
      <c r="BD111" s="249"/>
      <c r="BE111" s="249"/>
      <c r="BF111" s="249"/>
      <c r="BG111" s="258"/>
    </row>
    <row r="112" spans="1:59" ht="13" thickBot="1">
      <c r="A112" s="259" t="s">
        <v>36</v>
      </c>
      <c r="B112" s="260">
        <f>SUM(B12:B111)</f>
        <v>0</v>
      </c>
      <c r="C112" s="261">
        <f t="shared" ref="C112:M112" si="0">SUM(C12:C111)</f>
        <v>0</v>
      </c>
      <c r="D112" s="261">
        <f t="shared" si="0"/>
        <v>0</v>
      </c>
      <c r="E112" s="261">
        <f t="shared" si="0"/>
        <v>0</v>
      </c>
      <c r="F112" s="261">
        <f t="shared" si="0"/>
        <v>0</v>
      </c>
      <c r="G112" s="261">
        <f t="shared" si="0"/>
        <v>0</v>
      </c>
      <c r="H112" s="261">
        <f t="shared" si="0"/>
        <v>0</v>
      </c>
      <c r="I112" s="261">
        <f t="shared" si="0"/>
        <v>0</v>
      </c>
      <c r="J112" s="261">
        <f t="shared" si="0"/>
        <v>0</v>
      </c>
      <c r="K112" s="261">
        <f t="shared" si="0"/>
        <v>0</v>
      </c>
      <c r="L112" s="261">
        <f t="shared" si="0"/>
        <v>0</v>
      </c>
      <c r="M112" s="261">
        <f t="shared" si="0"/>
        <v>0</v>
      </c>
      <c r="N112" s="262">
        <f>SUM(N12:N111)</f>
        <v>0</v>
      </c>
      <c r="O112" s="217"/>
      <c r="P112" s="259" t="s">
        <v>36</v>
      </c>
      <c r="Q112" s="260">
        <f>SUM(Q12:Q111)</f>
        <v>0</v>
      </c>
      <c r="R112" s="261">
        <f t="shared" ref="R112:AB112" si="1">SUM(R12:R111)</f>
        <v>0</v>
      </c>
      <c r="S112" s="261">
        <f t="shared" si="1"/>
        <v>0</v>
      </c>
      <c r="T112" s="261">
        <f t="shared" si="1"/>
        <v>0</v>
      </c>
      <c r="U112" s="261">
        <f t="shared" si="1"/>
        <v>0</v>
      </c>
      <c r="V112" s="261">
        <f t="shared" si="1"/>
        <v>0</v>
      </c>
      <c r="W112" s="261">
        <f t="shared" si="1"/>
        <v>0</v>
      </c>
      <c r="X112" s="261">
        <f t="shared" si="1"/>
        <v>0</v>
      </c>
      <c r="Y112" s="261">
        <f t="shared" si="1"/>
        <v>0</v>
      </c>
      <c r="Z112" s="261">
        <f t="shared" si="1"/>
        <v>0</v>
      </c>
      <c r="AA112" s="261">
        <f t="shared" si="1"/>
        <v>0</v>
      </c>
      <c r="AB112" s="261">
        <f t="shared" si="1"/>
        <v>0</v>
      </c>
      <c r="AC112" s="262">
        <f>SUM(AC12:AC111)</f>
        <v>0</v>
      </c>
      <c r="AE112" s="259" t="s">
        <v>36</v>
      </c>
      <c r="AF112" s="260">
        <f>SUM(AF12:AF111)</f>
        <v>0</v>
      </c>
      <c r="AG112" s="261">
        <f t="shared" ref="AG112:AQ112" si="2">SUM(AG12:AG111)</f>
        <v>0</v>
      </c>
      <c r="AH112" s="261">
        <f t="shared" si="2"/>
        <v>0</v>
      </c>
      <c r="AI112" s="261">
        <f t="shared" si="2"/>
        <v>0</v>
      </c>
      <c r="AJ112" s="261">
        <f t="shared" si="2"/>
        <v>0</v>
      </c>
      <c r="AK112" s="261">
        <f t="shared" si="2"/>
        <v>0</v>
      </c>
      <c r="AL112" s="261">
        <f t="shared" si="2"/>
        <v>0</v>
      </c>
      <c r="AM112" s="261">
        <f t="shared" si="2"/>
        <v>0</v>
      </c>
      <c r="AN112" s="261">
        <f t="shared" si="2"/>
        <v>0</v>
      </c>
      <c r="AO112" s="261">
        <f t="shared" si="2"/>
        <v>0</v>
      </c>
      <c r="AP112" s="261">
        <f t="shared" si="2"/>
        <v>0</v>
      </c>
      <c r="AQ112" s="261">
        <f t="shared" si="2"/>
        <v>0</v>
      </c>
      <c r="AR112" s="262">
        <f>SUM(AR12:AR111)</f>
        <v>0</v>
      </c>
      <c r="AT112" s="259" t="s">
        <v>36</v>
      </c>
      <c r="AU112" s="260">
        <f>SUM(AU12:AU111)</f>
        <v>0</v>
      </c>
      <c r="AV112" s="261">
        <f t="shared" ref="AV112:BF112" si="3">SUM(AV12:AV111)</f>
        <v>0</v>
      </c>
      <c r="AW112" s="261">
        <f t="shared" si="3"/>
        <v>0</v>
      </c>
      <c r="AX112" s="261">
        <f t="shared" si="3"/>
        <v>0</v>
      </c>
      <c r="AY112" s="261">
        <f t="shared" si="3"/>
        <v>0</v>
      </c>
      <c r="AZ112" s="261">
        <f t="shared" si="3"/>
        <v>0</v>
      </c>
      <c r="BA112" s="261">
        <f t="shared" si="3"/>
        <v>0</v>
      </c>
      <c r="BB112" s="261">
        <f t="shared" si="3"/>
        <v>0</v>
      </c>
      <c r="BC112" s="261">
        <f t="shared" si="3"/>
        <v>0</v>
      </c>
      <c r="BD112" s="261">
        <f t="shared" si="3"/>
        <v>0</v>
      </c>
      <c r="BE112" s="261">
        <f t="shared" si="3"/>
        <v>0</v>
      </c>
      <c r="BF112" s="261">
        <f t="shared" si="3"/>
        <v>0</v>
      </c>
      <c r="BG112" s="262">
        <f>SUM(BG12:BG111)</f>
        <v>0</v>
      </c>
    </row>
  </sheetData>
  <mergeCells count="12">
    <mergeCell ref="AU10:BG10"/>
    <mergeCell ref="B10:N10"/>
    <mergeCell ref="Q10:AC10"/>
    <mergeCell ref="AF10:AR10"/>
    <mergeCell ref="B3:D3"/>
    <mergeCell ref="B4:D4"/>
    <mergeCell ref="B5:D5"/>
    <mergeCell ref="G6:I6"/>
    <mergeCell ref="AU9:BG9"/>
    <mergeCell ref="AF9:AR9"/>
    <mergeCell ref="Q9:AC9"/>
    <mergeCell ref="B9:N9"/>
  </mergeCells>
  <phoneticPr fontId="3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G112"/>
  <sheetViews>
    <sheetView workbookViewId="0">
      <selection activeCell="G6" sqref="G6:I6"/>
    </sheetView>
  </sheetViews>
  <sheetFormatPr defaultRowHeight="12.5"/>
  <cols>
    <col min="1" max="1" width="12.453125" customWidth="1"/>
    <col min="2"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59" ht="18">
      <c r="A1" s="34" t="s">
        <v>147</v>
      </c>
      <c r="B1" s="6"/>
      <c r="C1" s="4"/>
      <c r="D1" s="6"/>
      <c r="E1" s="6"/>
      <c r="F1" s="6"/>
      <c r="G1" s="6"/>
      <c r="H1" s="6"/>
      <c r="I1" s="6"/>
      <c r="J1" s="222"/>
      <c r="K1" s="222"/>
    </row>
    <row r="2" spans="1:59" ht="16" thickBot="1">
      <c r="A2" s="350" t="s">
        <v>146</v>
      </c>
      <c r="B2" s="6"/>
      <c r="C2" s="11"/>
      <c r="D2" s="6"/>
      <c r="E2" s="6"/>
      <c r="F2" s="6"/>
      <c r="G2" s="6"/>
      <c r="H2" s="6"/>
      <c r="I2" s="6"/>
      <c r="J2" s="222"/>
      <c r="K2" s="222"/>
    </row>
    <row r="3" spans="1:59" ht="16" thickBot="1">
      <c r="A3" s="346" t="s">
        <v>135</v>
      </c>
      <c r="B3" s="377" t="str">
        <f>'START HERE'!F6</f>
        <v>Korea</v>
      </c>
      <c r="C3" s="377"/>
      <c r="D3" s="377"/>
      <c r="F3" s="31" t="s">
        <v>59</v>
      </c>
      <c r="G3" s="196" t="s">
        <v>103</v>
      </c>
      <c r="H3" s="199"/>
      <c r="I3" s="197"/>
      <c r="J3" s="222"/>
      <c r="K3" s="222"/>
    </row>
    <row r="4" spans="1:59" ht="15.5">
      <c r="A4" s="12" t="s">
        <v>22</v>
      </c>
      <c r="B4" s="377" t="str">
        <f>'START HERE'!F5</f>
        <v>Jack mackerel</v>
      </c>
      <c r="C4" s="377"/>
      <c r="D4" s="377"/>
      <c r="E4" s="222"/>
      <c r="F4" s="13" t="s">
        <v>45</v>
      </c>
      <c r="G4" s="216"/>
      <c r="H4" s="200"/>
      <c r="I4" s="84"/>
      <c r="J4" s="222"/>
      <c r="K4" s="222"/>
    </row>
    <row r="5" spans="1:59" ht="18">
      <c r="A5" s="12" t="s">
        <v>15</v>
      </c>
      <c r="B5" s="378">
        <f>'START HERE'!K3</f>
        <v>2018</v>
      </c>
      <c r="C5" s="378"/>
      <c r="D5" s="378"/>
      <c r="E5" s="222"/>
      <c r="F5" s="35" t="s">
        <v>46</v>
      </c>
      <c r="G5" s="85" t="s">
        <v>148</v>
      </c>
      <c r="H5" s="198"/>
      <c r="I5" s="86"/>
      <c r="J5" s="222"/>
      <c r="K5" s="222"/>
    </row>
    <row r="6" spans="1:59" ht="16" thickBot="1">
      <c r="A6" s="12"/>
      <c r="B6" s="81"/>
      <c r="C6" s="82"/>
      <c r="D6" s="6"/>
      <c r="F6" s="35" t="s">
        <v>16</v>
      </c>
      <c r="G6" s="384">
        <f>'START HERE'!$F8</f>
        <v>42252</v>
      </c>
      <c r="H6" s="385"/>
      <c r="I6" s="391"/>
      <c r="J6" s="222"/>
      <c r="K6" s="222"/>
    </row>
    <row r="7" spans="1:59">
      <c r="A7" s="6"/>
      <c r="B7" s="6"/>
      <c r="C7" s="6"/>
      <c r="D7" s="6"/>
      <c r="E7" s="6"/>
      <c r="F7" s="6"/>
      <c r="G7" s="6"/>
      <c r="H7" s="6"/>
      <c r="I7" s="6"/>
      <c r="J7" s="222"/>
      <c r="K7" s="222"/>
    </row>
    <row r="8" spans="1:59" ht="13" thickBot="1">
      <c r="A8" s="6"/>
      <c r="B8" s="6"/>
      <c r="C8" s="6"/>
      <c r="D8" s="6"/>
      <c r="E8" s="6"/>
      <c r="F8" s="6"/>
      <c r="G8" s="6"/>
      <c r="H8" s="6"/>
      <c r="I8" s="6"/>
      <c r="J8" s="222"/>
      <c r="K8" s="222"/>
    </row>
    <row r="9" spans="1:59" ht="15.5">
      <c r="A9" s="250"/>
      <c r="B9" s="406" t="s">
        <v>61</v>
      </c>
      <c r="C9" s="406"/>
      <c r="D9" s="406"/>
      <c r="E9" s="406"/>
      <c r="F9" s="406"/>
      <c r="G9" s="406"/>
      <c r="H9" s="406"/>
      <c r="I9" s="406"/>
      <c r="J9" s="406"/>
      <c r="K9" s="406"/>
      <c r="L9" s="406"/>
      <c r="M9" s="406"/>
      <c r="N9" s="407"/>
      <c r="P9" s="250"/>
      <c r="Q9" s="406" t="s">
        <v>37</v>
      </c>
      <c r="R9" s="406"/>
      <c r="S9" s="406"/>
      <c r="T9" s="406"/>
      <c r="U9" s="406"/>
      <c r="V9" s="406"/>
      <c r="W9" s="406"/>
      <c r="X9" s="406"/>
      <c r="Y9" s="406"/>
      <c r="Z9" s="406"/>
      <c r="AA9" s="406"/>
      <c r="AB9" s="406"/>
      <c r="AC9" s="407"/>
      <c r="AE9" s="250"/>
      <c r="AF9" s="406" t="s">
        <v>38</v>
      </c>
      <c r="AG9" s="406"/>
      <c r="AH9" s="406"/>
      <c r="AI9" s="406"/>
      <c r="AJ9" s="406"/>
      <c r="AK9" s="406"/>
      <c r="AL9" s="406"/>
      <c r="AM9" s="406"/>
      <c r="AN9" s="406"/>
      <c r="AO9" s="406"/>
      <c r="AP9" s="406"/>
      <c r="AQ9" s="406"/>
      <c r="AR9" s="407"/>
      <c r="AT9" s="250"/>
      <c r="AU9" s="406" t="s">
        <v>39</v>
      </c>
      <c r="AV9" s="406"/>
      <c r="AW9" s="406"/>
      <c r="AX9" s="406"/>
      <c r="AY9" s="406"/>
      <c r="AZ9" s="406"/>
      <c r="BA9" s="406"/>
      <c r="BB9" s="406"/>
      <c r="BC9" s="406"/>
      <c r="BD9" s="406"/>
      <c r="BE9" s="406"/>
      <c r="BF9" s="406"/>
      <c r="BG9" s="407"/>
    </row>
    <row r="10" spans="1:59" ht="13">
      <c r="A10" s="251" t="s">
        <v>92</v>
      </c>
      <c r="B10" s="403" t="s">
        <v>90</v>
      </c>
      <c r="C10" s="404"/>
      <c r="D10" s="404"/>
      <c r="E10" s="404"/>
      <c r="F10" s="404"/>
      <c r="G10" s="404"/>
      <c r="H10" s="404"/>
      <c r="I10" s="404"/>
      <c r="J10" s="404"/>
      <c r="K10" s="404"/>
      <c r="L10" s="404"/>
      <c r="M10" s="404"/>
      <c r="N10" s="405"/>
      <c r="P10" s="251" t="s">
        <v>92</v>
      </c>
      <c r="Q10" s="403" t="s">
        <v>90</v>
      </c>
      <c r="R10" s="404"/>
      <c r="S10" s="404"/>
      <c r="T10" s="404"/>
      <c r="U10" s="404"/>
      <c r="V10" s="404"/>
      <c r="W10" s="404"/>
      <c r="X10" s="404"/>
      <c r="Y10" s="404"/>
      <c r="Z10" s="404"/>
      <c r="AA10" s="404"/>
      <c r="AB10" s="404"/>
      <c r="AC10" s="405"/>
      <c r="AE10" s="251" t="s">
        <v>92</v>
      </c>
      <c r="AF10" s="403" t="s">
        <v>90</v>
      </c>
      <c r="AG10" s="404"/>
      <c r="AH10" s="404"/>
      <c r="AI10" s="404"/>
      <c r="AJ10" s="404"/>
      <c r="AK10" s="404"/>
      <c r="AL10" s="404"/>
      <c r="AM10" s="404"/>
      <c r="AN10" s="404"/>
      <c r="AO10" s="404"/>
      <c r="AP10" s="404"/>
      <c r="AQ10" s="404"/>
      <c r="AR10" s="405"/>
      <c r="AT10" s="251" t="s">
        <v>92</v>
      </c>
      <c r="AU10" s="403" t="s">
        <v>90</v>
      </c>
      <c r="AV10" s="404"/>
      <c r="AW10" s="404"/>
      <c r="AX10" s="404"/>
      <c r="AY10" s="404"/>
      <c r="AZ10" s="404"/>
      <c r="BA10" s="404"/>
      <c r="BB10" s="404"/>
      <c r="BC10" s="404"/>
      <c r="BD10" s="404"/>
      <c r="BE10" s="404"/>
      <c r="BF10" s="404"/>
      <c r="BG10" s="405"/>
    </row>
    <row r="11" spans="1:59" ht="13">
      <c r="A11" s="252" t="s">
        <v>49</v>
      </c>
      <c r="B11" s="246">
        <v>0</v>
      </c>
      <c r="C11" s="247">
        <v>1</v>
      </c>
      <c r="D11" s="247">
        <v>2</v>
      </c>
      <c r="E11" s="247">
        <v>3</v>
      </c>
      <c r="F11" s="247">
        <v>4</v>
      </c>
      <c r="G11" s="247">
        <v>5</v>
      </c>
      <c r="H11" s="247">
        <v>6</v>
      </c>
      <c r="I11" s="247">
        <v>7</v>
      </c>
      <c r="J11" s="247">
        <v>8</v>
      </c>
      <c r="K11" s="247">
        <v>9</v>
      </c>
      <c r="L11" s="247">
        <v>10</v>
      </c>
      <c r="M11" s="247">
        <v>11</v>
      </c>
      <c r="N11" s="253">
        <v>12</v>
      </c>
      <c r="P11" s="252" t="s">
        <v>49</v>
      </c>
      <c r="Q11" s="246">
        <v>0</v>
      </c>
      <c r="R11" s="247">
        <v>1</v>
      </c>
      <c r="S11" s="247">
        <v>2</v>
      </c>
      <c r="T11" s="247">
        <v>3</v>
      </c>
      <c r="U11" s="247">
        <v>4</v>
      </c>
      <c r="V11" s="247">
        <v>5</v>
      </c>
      <c r="W11" s="247">
        <v>6</v>
      </c>
      <c r="X11" s="247">
        <v>7</v>
      </c>
      <c r="Y11" s="247">
        <v>8</v>
      </c>
      <c r="Z11" s="247">
        <v>9</v>
      </c>
      <c r="AA11" s="247">
        <v>10</v>
      </c>
      <c r="AB11" s="247">
        <v>11</v>
      </c>
      <c r="AC11" s="253">
        <v>12</v>
      </c>
      <c r="AE11" s="252" t="s">
        <v>49</v>
      </c>
      <c r="AF11" s="246">
        <v>0</v>
      </c>
      <c r="AG11" s="247">
        <v>1</v>
      </c>
      <c r="AH11" s="247">
        <v>2</v>
      </c>
      <c r="AI11" s="247">
        <v>3</v>
      </c>
      <c r="AJ11" s="247">
        <v>4</v>
      </c>
      <c r="AK11" s="247">
        <v>5</v>
      </c>
      <c r="AL11" s="247">
        <v>6</v>
      </c>
      <c r="AM11" s="247">
        <v>7</v>
      </c>
      <c r="AN11" s="247">
        <v>8</v>
      </c>
      <c r="AO11" s="247">
        <v>9</v>
      </c>
      <c r="AP11" s="247">
        <v>10</v>
      </c>
      <c r="AQ11" s="247">
        <v>11</v>
      </c>
      <c r="AR11" s="253">
        <v>12</v>
      </c>
      <c r="AT11" s="252" t="s">
        <v>49</v>
      </c>
      <c r="AU11" s="246">
        <v>0</v>
      </c>
      <c r="AV11" s="247">
        <v>1</v>
      </c>
      <c r="AW11" s="247">
        <v>2</v>
      </c>
      <c r="AX11" s="247">
        <v>3</v>
      </c>
      <c r="AY11" s="247">
        <v>4</v>
      </c>
      <c r="AZ11" s="247">
        <v>5</v>
      </c>
      <c r="BA11" s="247">
        <v>6</v>
      </c>
      <c r="BB11" s="247">
        <v>7</v>
      </c>
      <c r="BC11" s="247">
        <v>8</v>
      </c>
      <c r="BD11" s="247">
        <v>9</v>
      </c>
      <c r="BE11" s="247">
        <v>10</v>
      </c>
      <c r="BF11" s="247">
        <v>11</v>
      </c>
      <c r="BG11" s="253">
        <v>12</v>
      </c>
    </row>
    <row r="12" spans="1:59">
      <c r="A12" s="254">
        <v>1</v>
      </c>
      <c r="B12" s="244"/>
      <c r="C12" s="245"/>
      <c r="D12" s="245"/>
      <c r="E12" s="245"/>
      <c r="F12" s="245"/>
      <c r="G12" s="245"/>
      <c r="H12" s="245"/>
      <c r="I12" s="245"/>
      <c r="J12" s="245"/>
      <c r="K12" s="245"/>
      <c r="L12" s="245"/>
      <c r="M12" s="245"/>
      <c r="N12" s="255"/>
      <c r="P12" s="254">
        <v>1</v>
      </c>
      <c r="Q12" s="244"/>
      <c r="R12" s="245"/>
      <c r="S12" s="245"/>
      <c r="T12" s="245"/>
      <c r="U12" s="245"/>
      <c r="V12" s="245"/>
      <c r="W12" s="245"/>
      <c r="X12" s="245"/>
      <c r="Y12" s="245"/>
      <c r="Z12" s="245"/>
      <c r="AA12" s="245"/>
      <c r="AB12" s="245"/>
      <c r="AC12" s="255"/>
      <c r="AE12" s="254">
        <v>1</v>
      </c>
      <c r="AF12" s="244"/>
      <c r="AG12" s="245"/>
      <c r="AH12" s="245"/>
      <c r="AI12" s="245"/>
      <c r="AJ12" s="245"/>
      <c r="AK12" s="245"/>
      <c r="AL12" s="245"/>
      <c r="AM12" s="245"/>
      <c r="AN12" s="245"/>
      <c r="AO12" s="245"/>
      <c r="AP12" s="245"/>
      <c r="AQ12" s="245"/>
      <c r="AR12" s="255"/>
      <c r="AT12" s="254">
        <v>1</v>
      </c>
      <c r="AU12" s="244"/>
      <c r="AV12" s="245"/>
      <c r="AW12" s="245"/>
      <c r="AX12" s="245"/>
      <c r="AY12" s="245"/>
      <c r="AZ12" s="245"/>
      <c r="BA12" s="245"/>
      <c r="BB12" s="245"/>
      <c r="BC12" s="245"/>
      <c r="BD12" s="245"/>
      <c r="BE12" s="245"/>
      <c r="BF12" s="245"/>
      <c r="BG12" s="255"/>
    </row>
    <row r="13" spans="1:59">
      <c r="A13" s="254">
        <v>2</v>
      </c>
      <c r="B13" s="242"/>
      <c r="C13" s="243"/>
      <c r="D13" s="243"/>
      <c r="E13" s="243"/>
      <c r="F13" s="243"/>
      <c r="G13" s="243"/>
      <c r="H13" s="243"/>
      <c r="I13" s="243"/>
      <c r="J13" s="243"/>
      <c r="K13" s="243"/>
      <c r="L13" s="243"/>
      <c r="M13" s="243"/>
      <c r="N13" s="256"/>
      <c r="P13" s="254">
        <v>2</v>
      </c>
      <c r="Q13" s="242"/>
      <c r="R13" s="243"/>
      <c r="S13" s="243"/>
      <c r="T13" s="243"/>
      <c r="U13" s="243"/>
      <c r="V13" s="243"/>
      <c r="W13" s="243"/>
      <c r="X13" s="243"/>
      <c r="Y13" s="243"/>
      <c r="Z13" s="243"/>
      <c r="AA13" s="243"/>
      <c r="AB13" s="243"/>
      <c r="AC13" s="256"/>
      <c r="AE13" s="254">
        <v>2</v>
      </c>
      <c r="AF13" s="242"/>
      <c r="AG13" s="243"/>
      <c r="AH13" s="243"/>
      <c r="AI13" s="243"/>
      <c r="AJ13" s="243"/>
      <c r="AK13" s="243"/>
      <c r="AL13" s="243"/>
      <c r="AM13" s="243"/>
      <c r="AN13" s="243"/>
      <c r="AO13" s="243"/>
      <c r="AP13" s="243"/>
      <c r="AQ13" s="243"/>
      <c r="AR13" s="256"/>
      <c r="AT13" s="254">
        <v>2</v>
      </c>
      <c r="AU13" s="242"/>
      <c r="AV13" s="243"/>
      <c r="AW13" s="243"/>
      <c r="AX13" s="243"/>
      <c r="AY13" s="243"/>
      <c r="AZ13" s="243"/>
      <c r="BA13" s="243"/>
      <c r="BB13" s="243"/>
      <c r="BC13" s="243"/>
      <c r="BD13" s="243"/>
      <c r="BE13" s="243"/>
      <c r="BF13" s="243"/>
      <c r="BG13" s="256"/>
    </row>
    <row r="14" spans="1:59">
      <c r="A14" s="254">
        <v>3</v>
      </c>
      <c r="B14" s="242"/>
      <c r="C14" s="243"/>
      <c r="D14" s="243"/>
      <c r="E14" s="243"/>
      <c r="F14" s="243"/>
      <c r="G14" s="243"/>
      <c r="H14" s="243"/>
      <c r="I14" s="243"/>
      <c r="J14" s="243"/>
      <c r="K14" s="243"/>
      <c r="L14" s="243"/>
      <c r="M14" s="243"/>
      <c r="N14" s="256"/>
      <c r="P14" s="254">
        <v>3</v>
      </c>
      <c r="Q14" s="242"/>
      <c r="R14" s="243"/>
      <c r="S14" s="243"/>
      <c r="T14" s="243"/>
      <c r="U14" s="243"/>
      <c r="V14" s="243"/>
      <c r="W14" s="243"/>
      <c r="X14" s="243"/>
      <c r="Y14" s="243"/>
      <c r="Z14" s="243"/>
      <c r="AA14" s="243"/>
      <c r="AB14" s="243"/>
      <c r="AC14" s="256"/>
      <c r="AE14" s="254">
        <v>3</v>
      </c>
      <c r="AF14" s="242"/>
      <c r="AG14" s="243"/>
      <c r="AH14" s="243"/>
      <c r="AI14" s="243"/>
      <c r="AJ14" s="243"/>
      <c r="AK14" s="243"/>
      <c r="AL14" s="243"/>
      <c r="AM14" s="243"/>
      <c r="AN14" s="243"/>
      <c r="AO14" s="243"/>
      <c r="AP14" s="243"/>
      <c r="AQ14" s="243"/>
      <c r="AR14" s="256"/>
      <c r="AT14" s="254">
        <v>3</v>
      </c>
      <c r="AU14" s="242"/>
      <c r="AV14" s="243"/>
      <c r="AW14" s="243"/>
      <c r="AX14" s="243"/>
      <c r="AY14" s="243"/>
      <c r="AZ14" s="243"/>
      <c r="BA14" s="243"/>
      <c r="BB14" s="243"/>
      <c r="BC14" s="243"/>
      <c r="BD14" s="243"/>
      <c r="BE14" s="243"/>
      <c r="BF14" s="243"/>
      <c r="BG14" s="256"/>
    </row>
    <row r="15" spans="1:59">
      <c r="A15" s="254">
        <v>4</v>
      </c>
      <c r="B15" s="242"/>
      <c r="C15" s="243"/>
      <c r="D15" s="243"/>
      <c r="E15" s="243"/>
      <c r="F15" s="243"/>
      <c r="G15" s="243"/>
      <c r="H15" s="243"/>
      <c r="I15" s="243"/>
      <c r="J15" s="243"/>
      <c r="K15" s="243"/>
      <c r="L15" s="243"/>
      <c r="M15" s="243"/>
      <c r="N15" s="256"/>
      <c r="P15" s="254">
        <v>4</v>
      </c>
      <c r="Q15" s="242"/>
      <c r="R15" s="243"/>
      <c r="S15" s="243"/>
      <c r="T15" s="243"/>
      <c r="U15" s="243"/>
      <c r="V15" s="243"/>
      <c r="W15" s="243"/>
      <c r="X15" s="243"/>
      <c r="Y15" s="243"/>
      <c r="Z15" s="243"/>
      <c r="AA15" s="243"/>
      <c r="AB15" s="243"/>
      <c r="AC15" s="256"/>
      <c r="AE15" s="254">
        <v>4</v>
      </c>
      <c r="AF15" s="242"/>
      <c r="AG15" s="243"/>
      <c r="AH15" s="243"/>
      <c r="AI15" s="243"/>
      <c r="AJ15" s="243"/>
      <c r="AK15" s="243"/>
      <c r="AL15" s="243"/>
      <c r="AM15" s="243"/>
      <c r="AN15" s="243"/>
      <c r="AO15" s="243"/>
      <c r="AP15" s="243"/>
      <c r="AQ15" s="243"/>
      <c r="AR15" s="256"/>
      <c r="AT15" s="254">
        <v>4</v>
      </c>
      <c r="AU15" s="242"/>
      <c r="AV15" s="243"/>
      <c r="AW15" s="243"/>
      <c r="AX15" s="243"/>
      <c r="AY15" s="243"/>
      <c r="AZ15" s="243"/>
      <c r="BA15" s="243"/>
      <c r="BB15" s="243"/>
      <c r="BC15" s="243"/>
      <c r="BD15" s="243"/>
      <c r="BE15" s="243"/>
      <c r="BF15" s="243"/>
      <c r="BG15" s="256"/>
    </row>
    <row r="16" spans="1:59">
      <c r="A16" s="254">
        <v>5</v>
      </c>
      <c r="B16" s="242"/>
      <c r="C16" s="243"/>
      <c r="D16" s="243"/>
      <c r="E16" s="243"/>
      <c r="F16" s="243"/>
      <c r="G16" s="243"/>
      <c r="H16" s="243"/>
      <c r="I16" s="243"/>
      <c r="J16" s="243"/>
      <c r="K16" s="243"/>
      <c r="L16" s="243"/>
      <c r="M16" s="243"/>
      <c r="N16" s="256"/>
      <c r="P16" s="254">
        <v>5</v>
      </c>
      <c r="Q16" s="242"/>
      <c r="R16" s="243"/>
      <c r="S16" s="243"/>
      <c r="T16" s="243"/>
      <c r="U16" s="243"/>
      <c r="V16" s="243"/>
      <c r="W16" s="243"/>
      <c r="X16" s="243"/>
      <c r="Y16" s="243"/>
      <c r="Z16" s="243"/>
      <c r="AA16" s="243"/>
      <c r="AB16" s="243"/>
      <c r="AC16" s="256"/>
      <c r="AE16" s="254">
        <v>5</v>
      </c>
      <c r="AF16" s="242"/>
      <c r="AG16" s="243"/>
      <c r="AH16" s="243"/>
      <c r="AI16" s="243"/>
      <c r="AJ16" s="243"/>
      <c r="AK16" s="243"/>
      <c r="AL16" s="243"/>
      <c r="AM16" s="243"/>
      <c r="AN16" s="243"/>
      <c r="AO16" s="243"/>
      <c r="AP16" s="243"/>
      <c r="AQ16" s="243"/>
      <c r="AR16" s="256"/>
      <c r="AT16" s="254">
        <v>5</v>
      </c>
      <c r="AU16" s="242"/>
      <c r="AV16" s="243"/>
      <c r="AW16" s="243"/>
      <c r="AX16" s="243"/>
      <c r="AY16" s="243"/>
      <c r="AZ16" s="243"/>
      <c r="BA16" s="243"/>
      <c r="BB16" s="243"/>
      <c r="BC16" s="243"/>
      <c r="BD16" s="243"/>
      <c r="BE16" s="243"/>
      <c r="BF16" s="243"/>
      <c r="BG16" s="256"/>
    </row>
    <row r="17" spans="1:59">
      <c r="A17" s="254">
        <v>6</v>
      </c>
      <c r="B17" s="242"/>
      <c r="C17" s="243"/>
      <c r="D17" s="243"/>
      <c r="E17" s="243"/>
      <c r="F17" s="243"/>
      <c r="G17" s="243"/>
      <c r="H17" s="243"/>
      <c r="I17" s="243"/>
      <c r="J17" s="243"/>
      <c r="K17" s="243"/>
      <c r="L17" s="243"/>
      <c r="M17" s="243"/>
      <c r="N17" s="256"/>
      <c r="P17" s="254">
        <v>6</v>
      </c>
      <c r="Q17" s="242"/>
      <c r="R17" s="243"/>
      <c r="S17" s="243"/>
      <c r="T17" s="243"/>
      <c r="U17" s="243"/>
      <c r="V17" s="243"/>
      <c r="W17" s="243"/>
      <c r="X17" s="243"/>
      <c r="Y17" s="243"/>
      <c r="Z17" s="243"/>
      <c r="AA17" s="243"/>
      <c r="AB17" s="243"/>
      <c r="AC17" s="256"/>
      <c r="AE17" s="254">
        <v>6</v>
      </c>
      <c r="AF17" s="242"/>
      <c r="AG17" s="243"/>
      <c r="AH17" s="243"/>
      <c r="AI17" s="243"/>
      <c r="AJ17" s="243"/>
      <c r="AK17" s="243"/>
      <c r="AL17" s="243"/>
      <c r="AM17" s="243"/>
      <c r="AN17" s="243"/>
      <c r="AO17" s="243"/>
      <c r="AP17" s="243"/>
      <c r="AQ17" s="243"/>
      <c r="AR17" s="256"/>
      <c r="AT17" s="254">
        <v>6</v>
      </c>
      <c r="AU17" s="242"/>
      <c r="AV17" s="243"/>
      <c r="AW17" s="243"/>
      <c r="AX17" s="243"/>
      <c r="AY17" s="243"/>
      <c r="AZ17" s="243"/>
      <c r="BA17" s="243"/>
      <c r="BB17" s="243"/>
      <c r="BC17" s="243"/>
      <c r="BD17" s="243"/>
      <c r="BE17" s="243"/>
      <c r="BF17" s="243"/>
      <c r="BG17" s="256"/>
    </row>
    <row r="18" spans="1:59">
      <c r="A18" s="254">
        <v>7</v>
      </c>
      <c r="B18" s="242"/>
      <c r="C18" s="243"/>
      <c r="D18" s="243"/>
      <c r="E18" s="243"/>
      <c r="F18" s="243"/>
      <c r="G18" s="243"/>
      <c r="H18" s="243"/>
      <c r="I18" s="243"/>
      <c r="J18" s="243"/>
      <c r="K18" s="243"/>
      <c r="L18" s="243"/>
      <c r="M18" s="243"/>
      <c r="N18" s="256"/>
      <c r="P18" s="254">
        <v>7</v>
      </c>
      <c r="Q18" s="242"/>
      <c r="R18" s="243"/>
      <c r="S18" s="243"/>
      <c r="T18" s="243"/>
      <c r="U18" s="243"/>
      <c r="V18" s="243"/>
      <c r="W18" s="243"/>
      <c r="X18" s="243"/>
      <c r="Y18" s="243"/>
      <c r="Z18" s="243"/>
      <c r="AA18" s="243"/>
      <c r="AB18" s="243"/>
      <c r="AC18" s="256"/>
      <c r="AE18" s="254">
        <v>7</v>
      </c>
      <c r="AF18" s="242"/>
      <c r="AG18" s="243"/>
      <c r="AH18" s="243"/>
      <c r="AI18" s="243"/>
      <c r="AJ18" s="243"/>
      <c r="AK18" s="243"/>
      <c r="AL18" s="243"/>
      <c r="AM18" s="243"/>
      <c r="AN18" s="243"/>
      <c r="AO18" s="243"/>
      <c r="AP18" s="243"/>
      <c r="AQ18" s="243"/>
      <c r="AR18" s="256"/>
      <c r="AT18" s="254">
        <v>7</v>
      </c>
      <c r="AU18" s="242"/>
      <c r="AV18" s="243"/>
      <c r="AW18" s="243"/>
      <c r="AX18" s="243"/>
      <c r="AY18" s="243"/>
      <c r="AZ18" s="243"/>
      <c r="BA18" s="243"/>
      <c r="BB18" s="243"/>
      <c r="BC18" s="243"/>
      <c r="BD18" s="243"/>
      <c r="BE18" s="243"/>
      <c r="BF18" s="243"/>
      <c r="BG18" s="256"/>
    </row>
    <row r="19" spans="1:59">
      <c r="A19" s="254">
        <v>8</v>
      </c>
      <c r="B19" s="242"/>
      <c r="C19" s="243"/>
      <c r="D19" s="243"/>
      <c r="E19" s="243"/>
      <c r="F19" s="243"/>
      <c r="G19" s="243"/>
      <c r="H19" s="243"/>
      <c r="I19" s="243"/>
      <c r="J19" s="243"/>
      <c r="K19" s="243"/>
      <c r="L19" s="243"/>
      <c r="M19" s="243"/>
      <c r="N19" s="256"/>
      <c r="P19" s="254">
        <v>8</v>
      </c>
      <c r="Q19" s="242"/>
      <c r="R19" s="243"/>
      <c r="S19" s="243"/>
      <c r="T19" s="243"/>
      <c r="U19" s="243"/>
      <c r="V19" s="243"/>
      <c r="W19" s="243"/>
      <c r="X19" s="243"/>
      <c r="Y19" s="243"/>
      <c r="Z19" s="243"/>
      <c r="AA19" s="243"/>
      <c r="AB19" s="243"/>
      <c r="AC19" s="256"/>
      <c r="AE19" s="254">
        <v>8</v>
      </c>
      <c r="AF19" s="242"/>
      <c r="AG19" s="243"/>
      <c r="AH19" s="243"/>
      <c r="AI19" s="243"/>
      <c r="AJ19" s="243"/>
      <c r="AK19" s="243"/>
      <c r="AL19" s="243"/>
      <c r="AM19" s="243"/>
      <c r="AN19" s="243"/>
      <c r="AO19" s="243"/>
      <c r="AP19" s="243"/>
      <c r="AQ19" s="243"/>
      <c r="AR19" s="256"/>
      <c r="AT19" s="254">
        <v>8</v>
      </c>
      <c r="AU19" s="242"/>
      <c r="AV19" s="243"/>
      <c r="AW19" s="243"/>
      <c r="AX19" s="243"/>
      <c r="AY19" s="243"/>
      <c r="AZ19" s="243"/>
      <c r="BA19" s="243"/>
      <c r="BB19" s="243"/>
      <c r="BC19" s="243"/>
      <c r="BD19" s="243"/>
      <c r="BE19" s="243"/>
      <c r="BF19" s="243"/>
      <c r="BG19" s="256"/>
    </row>
    <row r="20" spans="1:59">
      <c r="A20" s="254">
        <v>9</v>
      </c>
      <c r="B20" s="242"/>
      <c r="C20" s="243"/>
      <c r="D20" s="243"/>
      <c r="E20" s="243"/>
      <c r="F20" s="243"/>
      <c r="G20" s="243"/>
      <c r="H20" s="243"/>
      <c r="I20" s="243"/>
      <c r="J20" s="243"/>
      <c r="K20" s="243"/>
      <c r="L20" s="243"/>
      <c r="M20" s="243"/>
      <c r="N20" s="256"/>
      <c r="P20" s="254">
        <v>9</v>
      </c>
      <c r="Q20" s="242"/>
      <c r="R20" s="243"/>
      <c r="S20" s="243"/>
      <c r="T20" s="243"/>
      <c r="U20" s="243"/>
      <c r="V20" s="243"/>
      <c r="W20" s="243"/>
      <c r="X20" s="243"/>
      <c r="Y20" s="243"/>
      <c r="Z20" s="243"/>
      <c r="AA20" s="243"/>
      <c r="AB20" s="243"/>
      <c r="AC20" s="256"/>
      <c r="AE20" s="254">
        <v>9</v>
      </c>
      <c r="AF20" s="242"/>
      <c r="AG20" s="243"/>
      <c r="AH20" s="243"/>
      <c r="AI20" s="243"/>
      <c r="AJ20" s="243"/>
      <c r="AK20" s="243"/>
      <c r="AL20" s="243"/>
      <c r="AM20" s="243"/>
      <c r="AN20" s="243"/>
      <c r="AO20" s="243"/>
      <c r="AP20" s="243"/>
      <c r="AQ20" s="243"/>
      <c r="AR20" s="256"/>
      <c r="AT20" s="254">
        <v>9</v>
      </c>
      <c r="AU20" s="242"/>
      <c r="AV20" s="243"/>
      <c r="AW20" s="243"/>
      <c r="AX20" s="243"/>
      <c r="AY20" s="243"/>
      <c r="AZ20" s="243"/>
      <c r="BA20" s="243"/>
      <c r="BB20" s="243"/>
      <c r="BC20" s="243"/>
      <c r="BD20" s="243"/>
      <c r="BE20" s="243"/>
      <c r="BF20" s="243"/>
      <c r="BG20" s="256"/>
    </row>
    <row r="21" spans="1:59">
      <c r="A21" s="254">
        <v>10</v>
      </c>
      <c r="B21" s="242"/>
      <c r="C21" s="243"/>
      <c r="D21" s="243"/>
      <c r="E21" s="243"/>
      <c r="F21" s="243"/>
      <c r="G21" s="243"/>
      <c r="H21" s="243"/>
      <c r="I21" s="243"/>
      <c r="J21" s="243"/>
      <c r="K21" s="243"/>
      <c r="L21" s="243"/>
      <c r="M21" s="243"/>
      <c r="N21" s="256"/>
      <c r="P21" s="254">
        <v>10</v>
      </c>
      <c r="Q21" s="242"/>
      <c r="R21" s="243"/>
      <c r="S21" s="243"/>
      <c r="T21" s="243"/>
      <c r="U21" s="243"/>
      <c r="V21" s="243"/>
      <c r="W21" s="243"/>
      <c r="X21" s="243"/>
      <c r="Y21" s="243"/>
      <c r="Z21" s="243"/>
      <c r="AA21" s="243"/>
      <c r="AB21" s="243"/>
      <c r="AC21" s="256"/>
      <c r="AE21" s="254">
        <v>10</v>
      </c>
      <c r="AF21" s="242"/>
      <c r="AG21" s="243"/>
      <c r="AH21" s="243"/>
      <c r="AI21" s="243"/>
      <c r="AJ21" s="243"/>
      <c r="AK21" s="243"/>
      <c r="AL21" s="243"/>
      <c r="AM21" s="243"/>
      <c r="AN21" s="243"/>
      <c r="AO21" s="243"/>
      <c r="AP21" s="243"/>
      <c r="AQ21" s="243"/>
      <c r="AR21" s="256"/>
      <c r="AT21" s="254">
        <v>10</v>
      </c>
      <c r="AU21" s="242"/>
      <c r="AV21" s="243"/>
      <c r="AW21" s="243"/>
      <c r="AX21" s="243"/>
      <c r="AY21" s="243"/>
      <c r="AZ21" s="243"/>
      <c r="BA21" s="243"/>
      <c r="BB21" s="243"/>
      <c r="BC21" s="243"/>
      <c r="BD21" s="243"/>
      <c r="BE21" s="243"/>
      <c r="BF21" s="243"/>
      <c r="BG21" s="256"/>
    </row>
    <row r="22" spans="1:59">
      <c r="A22" s="254">
        <v>11</v>
      </c>
      <c r="B22" s="242"/>
      <c r="C22" s="243"/>
      <c r="D22" s="243"/>
      <c r="E22" s="243"/>
      <c r="F22" s="243"/>
      <c r="G22" s="243"/>
      <c r="H22" s="243"/>
      <c r="I22" s="243"/>
      <c r="J22" s="243"/>
      <c r="K22" s="243"/>
      <c r="L22" s="243"/>
      <c r="M22" s="243"/>
      <c r="N22" s="256"/>
      <c r="P22" s="254">
        <v>11</v>
      </c>
      <c r="Q22" s="242"/>
      <c r="R22" s="243"/>
      <c r="S22" s="243"/>
      <c r="T22" s="243"/>
      <c r="U22" s="243"/>
      <c r="V22" s="243"/>
      <c r="W22" s="243"/>
      <c r="X22" s="243"/>
      <c r="Y22" s="243"/>
      <c r="Z22" s="243"/>
      <c r="AA22" s="243"/>
      <c r="AB22" s="243"/>
      <c r="AC22" s="256"/>
      <c r="AE22" s="254">
        <v>11</v>
      </c>
      <c r="AF22" s="242"/>
      <c r="AG22" s="243"/>
      <c r="AH22" s="243"/>
      <c r="AI22" s="243"/>
      <c r="AJ22" s="243"/>
      <c r="AK22" s="243"/>
      <c r="AL22" s="243"/>
      <c r="AM22" s="243"/>
      <c r="AN22" s="243"/>
      <c r="AO22" s="243"/>
      <c r="AP22" s="243"/>
      <c r="AQ22" s="243"/>
      <c r="AR22" s="256"/>
      <c r="AT22" s="254">
        <v>11</v>
      </c>
      <c r="AU22" s="242"/>
      <c r="AV22" s="243"/>
      <c r="AW22" s="243"/>
      <c r="AX22" s="243"/>
      <c r="AY22" s="243"/>
      <c r="AZ22" s="243"/>
      <c r="BA22" s="243"/>
      <c r="BB22" s="243"/>
      <c r="BC22" s="243"/>
      <c r="BD22" s="243"/>
      <c r="BE22" s="243"/>
      <c r="BF22" s="243"/>
      <c r="BG22" s="256"/>
    </row>
    <row r="23" spans="1:59">
      <c r="A23" s="254">
        <v>12</v>
      </c>
      <c r="B23" s="242"/>
      <c r="C23" s="243"/>
      <c r="D23" s="243"/>
      <c r="E23" s="243"/>
      <c r="F23" s="243"/>
      <c r="G23" s="243"/>
      <c r="H23" s="243"/>
      <c r="I23" s="243"/>
      <c r="J23" s="243"/>
      <c r="K23" s="243"/>
      <c r="L23" s="243"/>
      <c r="M23" s="243"/>
      <c r="N23" s="256"/>
      <c r="P23" s="254">
        <v>12</v>
      </c>
      <c r="Q23" s="242"/>
      <c r="R23" s="243"/>
      <c r="S23" s="243"/>
      <c r="T23" s="243"/>
      <c r="U23" s="243"/>
      <c r="V23" s="243"/>
      <c r="W23" s="243"/>
      <c r="X23" s="243"/>
      <c r="Y23" s="243"/>
      <c r="Z23" s="243"/>
      <c r="AA23" s="243"/>
      <c r="AB23" s="243"/>
      <c r="AC23" s="256"/>
      <c r="AE23" s="254">
        <v>12</v>
      </c>
      <c r="AF23" s="242"/>
      <c r="AG23" s="243"/>
      <c r="AH23" s="243"/>
      <c r="AI23" s="243"/>
      <c r="AJ23" s="243"/>
      <c r="AK23" s="243"/>
      <c r="AL23" s="243"/>
      <c r="AM23" s="243"/>
      <c r="AN23" s="243"/>
      <c r="AO23" s="243"/>
      <c r="AP23" s="243"/>
      <c r="AQ23" s="243"/>
      <c r="AR23" s="256"/>
      <c r="AT23" s="254">
        <v>12</v>
      </c>
      <c r="AU23" s="242"/>
      <c r="AV23" s="243"/>
      <c r="AW23" s="243"/>
      <c r="AX23" s="243"/>
      <c r="AY23" s="243"/>
      <c r="AZ23" s="243"/>
      <c r="BA23" s="243"/>
      <c r="BB23" s="243"/>
      <c r="BC23" s="243"/>
      <c r="BD23" s="243"/>
      <c r="BE23" s="243"/>
      <c r="BF23" s="243"/>
      <c r="BG23" s="256"/>
    </row>
    <row r="24" spans="1:59">
      <c r="A24" s="254">
        <v>13</v>
      </c>
      <c r="B24" s="242"/>
      <c r="C24" s="243"/>
      <c r="D24" s="243"/>
      <c r="E24" s="243"/>
      <c r="F24" s="243"/>
      <c r="G24" s="243"/>
      <c r="H24" s="243"/>
      <c r="I24" s="243"/>
      <c r="J24" s="243"/>
      <c r="K24" s="243"/>
      <c r="L24" s="243"/>
      <c r="M24" s="243"/>
      <c r="N24" s="256"/>
      <c r="P24" s="254">
        <v>13</v>
      </c>
      <c r="Q24" s="242"/>
      <c r="R24" s="243"/>
      <c r="S24" s="243"/>
      <c r="T24" s="243"/>
      <c r="U24" s="243"/>
      <c r="V24" s="243"/>
      <c r="W24" s="243"/>
      <c r="X24" s="243"/>
      <c r="Y24" s="243"/>
      <c r="Z24" s="243"/>
      <c r="AA24" s="243"/>
      <c r="AB24" s="243"/>
      <c r="AC24" s="256"/>
      <c r="AE24" s="254">
        <v>13</v>
      </c>
      <c r="AF24" s="242"/>
      <c r="AG24" s="243"/>
      <c r="AH24" s="243"/>
      <c r="AI24" s="243"/>
      <c r="AJ24" s="243"/>
      <c r="AK24" s="243"/>
      <c r="AL24" s="243"/>
      <c r="AM24" s="243"/>
      <c r="AN24" s="243"/>
      <c r="AO24" s="243"/>
      <c r="AP24" s="243"/>
      <c r="AQ24" s="243"/>
      <c r="AR24" s="256"/>
      <c r="AT24" s="254">
        <v>13</v>
      </c>
      <c r="AU24" s="242"/>
      <c r="AV24" s="243"/>
      <c r="AW24" s="243"/>
      <c r="AX24" s="243"/>
      <c r="AY24" s="243"/>
      <c r="AZ24" s="243"/>
      <c r="BA24" s="243"/>
      <c r="BB24" s="243"/>
      <c r="BC24" s="243"/>
      <c r="BD24" s="243"/>
      <c r="BE24" s="243"/>
      <c r="BF24" s="243"/>
      <c r="BG24" s="256"/>
    </row>
    <row r="25" spans="1:59">
      <c r="A25" s="254">
        <v>14</v>
      </c>
      <c r="B25" s="242"/>
      <c r="C25" s="243"/>
      <c r="D25" s="243"/>
      <c r="E25" s="243"/>
      <c r="F25" s="243"/>
      <c r="G25" s="243"/>
      <c r="H25" s="243"/>
      <c r="I25" s="243"/>
      <c r="J25" s="243"/>
      <c r="K25" s="243"/>
      <c r="L25" s="243"/>
      <c r="M25" s="243"/>
      <c r="N25" s="256"/>
      <c r="P25" s="254">
        <v>14</v>
      </c>
      <c r="Q25" s="242"/>
      <c r="R25" s="243"/>
      <c r="S25" s="243"/>
      <c r="T25" s="243"/>
      <c r="U25" s="243"/>
      <c r="V25" s="243"/>
      <c r="W25" s="243"/>
      <c r="X25" s="243"/>
      <c r="Y25" s="243"/>
      <c r="Z25" s="243"/>
      <c r="AA25" s="243"/>
      <c r="AB25" s="243"/>
      <c r="AC25" s="256"/>
      <c r="AE25" s="254">
        <v>14</v>
      </c>
      <c r="AF25" s="242"/>
      <c r="AG25" s="243"/>
      <c r="AH25" s="243"/>
      <c r="AI25" s="243"/>
      <c r="AJ25" s="243"/>
      <c r="AK25" s="243"/>
      <c r="AL25" s="243"/>
      <c r="AM25" s="243"/>
      <c r="AN25" s="243"/>
      <c r="AO25" s="243"/>
      <c r="AP25" s="243"/>
      <c r="AQ25" s="243"/>
      <c r="AR25" s="256"/>
      <c r="AT25" s="254">
        <v>14</v>
      </c>
      <c r="AU25" s="242"/>
      <c r="AV25" s="243"/>
      <c r="AW25" s="243"/>
      <c r="AX25" s="243"/>
      <c r="AY25" s="243"/>
      <c r="AZ25" s="243"/>
      <c r="BA25" s="243"/>
      <c r="BB25" s="243"/>
      <c r="BC25" s="243"/>
      <c r="BD25" s="243"/>
      <c r="BE25" s="243"/>
      <c r="BF25" s="243"/>
      <c r="BG25" s="256"/>
    </row>
    <row r="26" spans="1:59">
      <c r="A26" s="254">
        <v>15</v>
      </c>
      <c r="B26" s="242"/>
      <c r="C26" s="243"/>
      <c r="D26" s="243"/>
      <c r="E26" s="243"/>
      <c r="F26" s="243"/>
      <c r="G26" s="243"/>
      <c r="H26" s="243"/>
      <c r="I26" s="243"/>
      <c r="J26" s="243"/>
      <c r="K26" s="243"/>
      <c r="L26" s="243"/>
      <c r="M26" s="243"/>
      <c r="N26" s="256"/>
      <c r="P26" s="254">
        <v>15</v>
      </c>
      <c r="Q26" s="242"/>
      <c r="R26" s="243"/>
      <c r="S26" s="243"/>
      <c r="T26" s="243"/>
      <c r="U26" s="243"/>
      <c r="V26" s="243"/>
      <c r="W26" s="243"/>
      <c r="X26" s="243"/>
      <c r="Y26" s="243"/>
      <c r="Z26" s="243"/>
      <c r="AA26" s="243"/>
      <c r="AB26" s="243"/>
      <c r="AC26" s="256"/>
      <c r="AE26" s="254">
        <v>15</v>
      </c>
      <c r="AF26" s="242"/>
      <c r="AG26" s="243"/>
      <c r="AH26" s="243"/>
      <c r="AI26" s="243"/>
      <c r="AJ26" s="243"/>
      <c r="AK26" s="243"/>
      <c r="AL26" s="243"/>
      <c r="AM26" s="243"/>
      <c r="AN26" s="243"/>
      <c r="AO26" s="243"/>
      <c r="AP26" s="243"/>
      <c r="AQ26" s="243"/>
      <c r="AR26" s="256"/>
      <c r="AT26" s="254">
        <v>15</v>
      </c>
      <c r="AU26" s="242"/>
      <c r="AV26" s="243"/>
      <c r="AW26" s="243"/>
      <c r="AX26" s="243"/>
      <c r="AY26" s="243"/>
      <c r="AZ26" s="243"/>
      <c r="BA26" s="243"/>
      <c r="BB26" s="243"/>
      <c r="BC26" s="243"/>
      <c r="BD26" s="243"/>
      <c r="BE26" s="243"/>
      <c r="BF26" s="243"/>
      <c r="BG26" s="256"/>
    </row>
    <row r="27" spans="1:59">
      <c r="A27" s="254">
        <v>16</v>
      </c>
      <c r="B27" s="242"/>
      <c r="C27" s="243"/>
      <c r="D27" s="243"/>
      <c r="E27" s="243"/>
      <c r="F27" s="243"/>
      <c r="G27" s="243"/>
      <c r="H27" s="243"/>
      <c r="I27" s="243"/>
      <c r="J27" s="243"/>
      <c r="K27" s="243"/>
      <c r="L27" s="243"/>
      <c r="M27" s="243"/>
      <c r="N27" s="256"/>
      <c r="P27" s="254">
        <v>16</v>
      </c>
      <c r="Q27" s="242"/>
      <c r="R27" s="243"/>
      <c r="S27" s="243"/>
      <c r="T27" s="243"/>
      <c r="U27" s="243"/>
      <c r="V27" s="243"/>
      <c r="W27" s="243"/>
      <c r="X27" s="243"/>
      <c r="Y27" s="243"/>
      <c r="Z27" s="243"/>
      <c r="AA27" s="243"/>
      <c r="AB27" s="243"/>
      <c r="AC27" s="256"/>
      <c r="AE27" s="254">
        <v>16</v>
      </c>
      <c r="AF27" s="242"/>
      <c r="AG27" s="243"/>
      <c r="AH27" s="243"/>
      <c r="AI27" s="243"/>
      <c r="AJ27" s="243"/>
      <c r="AK27" s="243"/>
      <c r="AL27" s="243"/>
      <c r="AM27" s="243"/>
      <c r="AN27" s="243"/>
      <c r="AO27" s="243"/>
      <c r="AP27" s="243"/>
      <c r="AQ27" s="243"/>
      <c r="AR27" s="256"/>
      <c r="AT27" s="254">
        <v>16</v>
      </c>
      <c r="AU27" s="242"/>
      <c r="AV27" s="243"/>
      <c r="AW27" s="243"/>
      <c r="AX27" s="243"/>
      <c r="AY27" s="243"/>
      <c r="AZ27" s="243"/>
      <c r="BA27" s="243"/>
      <c r="BB27" s="243"/>
      <c r="BC27" s="243"/>
      <c r="BD27" s="243"/>
      <c r="BE27" s="243"/>
      <c r="BF27" s="243"/>
      <c r="BG27" s="256"/>
    </row>
    <row r="28" spans="1:59">
      <c r="A28" s="254">
        <v>17</v>
      </c>
      <c r="B28" s="242"/>
      <c r="C28" s="243"/>
      <c r="D28" s="243"/>
      <c r="E28" s="243"/>
      <c r="F28" s="243"/>
      <c r="G28" s="243"/>
      <c r="H28" s="243"/>
      <c r="I28" s="243"/>
      <c r="J28" s="243"/>
      <c r="K28" s="243"/>
      <c r="L28" s="243"/>
      <c r="M28" s="243"/>
      <c r="N28" s="256"/>
      <c r="P28" s="254">
        <v>17</v>
      </c>
      <c r="Q28" s="242"/>
      <c r="R28" s="243"/>
      <c r="S28" s="243"/>
      <c r="T28" s="243"/>
      <c r="U28" s="243"/>
      <c r="V28" s="243"/>
      <c r="W28" s="243"/>
      <c r="X28" s="243"/>
      <c r="Y28" s="243"/>
      <c r="Z28" s="243"/>
      <c r="AA28" s="243"/>
      <c r="AB28" s="243"/>
      <c r="AC28" s="256"/>
      <c r="AE28" s="254">
        <v>17</v>
      </c>
      <c r="AF28" s="242"/>
      <c r="AG28" s="243"/>
      <c r="AH28" s="243"/>
      <c r="AI28" s="243"/>
      <c r="AJ28" s="243"/>
      <c r="AK28" s="243"/>
      <c r="AL28" s="243"/>
      <c r="AM28" s="243"/>
      <c r="AN28" s="243"/>
      <c r="AO28" s="243"/>
      <c r="AP28" s="243"/>
      <c r="AQ28" s="243"/>
      <c r="AR28" s="256"/>
      <c r="AT28" s="254">
        <v>17</v>
      </c>
      <c r="AU28" s="242"/>
      <c r="AV28" s="243"/>
      <c r="AW28" s="243"/>
      <c r="AX28" s="243"/>
      <c r="AY28" s="243"/>
      <c r="AZ28" s="243"/>
      <c r="BA28" s="243"/>
      <c r="BB28" s="243"/>
      <c r="BC28" s="243"/>
      <c r="BD28" s="243"/>
      <c r="BE28" s="243"/>
      <c r="BF28" s="243"/>
      <c r="BG28" s="256"/>
    </row>
    <row r="29" spans="1:59">
      <c r="A29" s="254">
        <v>18</v>
      </c>
      <c r="B29" s="242"/>
      <c r="C29" s="243"/>
      <c r="D29" s="243"/>
      <c r="E29" s="243"/>
      <c r="F29" s="243"/>
      <c r="G29" s="243"/>
      <c r="H29" s="243"/>
      <c r="I29" s="243"/>
      <c r="J29" s="243"/>
      <c r="K29" s="243"/>
      <c r="L29" s="243"/>
      <c r="M29" s="243"/>
      <c r="N29" s="256"/>
      <c r="P29" s="254">
        <v>18</v>
      </c>
      <c r="Q29" s="242"/>
      <c r="R29" s="243"/>
      <c r="S29" s="243"/>
      <c r="T29" s="243"/>
      <c r="U29" s="243"/>
      <c r="V29" s="243"/>
      <c r="W29" s="243"/>
      <c r="X29" s="243"/>
      <c r="Y29" s="243"/>
      <c r="Z29" s="243"/>
      <c r="AA29" s="243"/>
      <c r="AB29" s="243"/>
      <c r="AC29" s="256"/>
      <c r="AE29" s="254">
        <v>18</v>
      </c>
      <c r="AF29" s="242"/>
      <c r="AG29" s="243"/>
      <c r="AH29" s="243"/>
      <c r="AI29" s="243"/>
      <c r="AJ29" s="243"/>
      <c r="AK29" s="243"/>
      <c r="AL29" s="243"/>
      <c r="AM29" s="243"/>
      <c r="AN29" s="243"/>
      <c r="AO29" s="243"/>
      <c r="AP29" s="243"/>
      <c r="AQ29" s="243"/>
      <c r="AR29" s="256"/>
      <c r="AT29" s="254">
        <v>18</v>
      </c>
      <c r="AU29" s="242"/>
      <c r="AV29" s="243"/>
      <c r="AW29" s="243"/>
      <c r="AX29" s="243"/>
      <c r="AY29" s="243"/>
      <c r="AZ29" s="243"/>
      <c r="BA29" s="243"/>
      <c r="BB29" s="243"/>
      <c r="BC29" s="243"/>
      <c r="BD29" s="243"/>
      <c r="BE29" s="243"/>
      <c r="BF29" s="243"/>
      <c r="BG29" s="256"/>
    </row>
    <row r="30" spans="1:59">
      <c r="A30" s="254">
        <v>19</v>
      </c>
      <c r="B30" s="242"/>
      <c r="C30" s="243"/>
      <c r="D30" s="243"/>
      <c r="E30" s="243"/>
      <c r="F30" s="243"/>
      <c r="G30" s="243"/>
      <c r="H30" s="243"/>
      <c r="I30" s="243"/>
      <c r="J30" s="243"/>
      <c r="K30" s="243"/>
      <c r="L30" s="243"/>
      <c r="M30" s="243"/>
      <c r="N30" s="256"/>
      <c r="P30" s="254">
        <v>19</v>
      </c>
      <c r="Q30" s="242"/>
      <c r="R30" s="243"/>
      <c r="S30" s="243"/>
      <c r="T30" s="243"/>
      <c r="U30" s="243"/>
      <c r="V30" s="243"/>
      <c r="W30" s="243"/>
      <c r="X30" s="243"/>
      <c r="Y30" s="243"/>
      <c r="Z30" s="243"/>
      <c r="AA30" s="243"/>
      <c r="AB30" s="243"/>
      <c r="AC30" s="256"/>
      <c r="AE30" s="254">
        <v>19</v>
      </c>
      <c r="AF30" s="242"/>
      <c r="AG30" s="243"/>
      <c r="AH30" s="243"/>
      <c r="AI30" s="243"/>
      <c r="AJ30" s="243"/>
      <c r="AK30" s="243"/>
      <c r="AL30" s="243"/>
      <c r="AM30" s="243"/>
      <c r="AN30" s="243"/>
      <c r="AO30" s="243"/>
      <c r="AP30" s="243"/>
      <c r="AQ30" s="243"/>
      <c r="AR30" s="256"/>
      <c r="AT30" s="254">
        <v>19</v>
      </c>
      <c r="AU30" s="242"/>
      <c r="AV30" s="243"/>
      <c r="AW30" s="243"/>
      <c r="AX30" s="243"/>
      <c r="AY30" s="243"/>
      <c r="AZ30" s="243"/>
      <c r="BA30" s="243"/>
      <c r="BB30" s="243"/>
      <c r="BC30" s="243"/>
      <c r="BD30" s="243"/>
      <c r="BE30" s="243"/>
      <c r="BF30" s="243"/>
      <c r="BG30" s="256"/>
    </row>
    <row r="31" spans="1:59">
      <c r="A31" s="254">
        <v>20</v>
      </c>
      <c r="B31" s="242"/>
      <c r="C31" s="243"/>
      <c r="D31" s="243"/>
      <c r="E31" s="243"/>
      <c r="F31" s="243"/>
      <c r="G31" s="243"/>
      <c r="H31" s="243"/>
      <c r="I31" s="243"/>
      <c r="J31" s="243"/>
      <c r="K31" s="243"/>
      <c r="L31" s="243"/>
      <c r="M31" s="243"/>
      <c r="N31" s="256"/>
      <c r="P31" s="254">
        <v>20</v>
      </c>
      <c r="Q31" s="242"/>
      <c r="R31" s="243"/>
      <c r="S31" s="243"/>
      <c r="T31" s="243"/>
      <c r="U31" s="243"/>
      <c r="V31" s="243"/>
      <c r="W31" s="243"/>
      <c r="X31" s="243"/>
      <c r="Y31" s="243"/>
      <c r="Z31" s="243"/>
      <c r="AA31" s="243"/>
      <c r="AB31" s="243"/>
      <c r="AC31" s="256"/>
      <c r="AE31" s="254">
        <v>20</v>
      </c>
      <c r="AF31" s="242"/>
      <c r="AG31" s="243"/>
      <c r="AH31" s="243"/>
      <c r="AI31" s="243"/>
      <c r="AJ31" s="243"/>
      <c r="AK31" s="243"/>
      <c r="AL31" s="243"/>
      <c r="AM31" s="243"/>
      <c r="AN31" s="243"/>
      <c r="AO31" s="243"/>
      <c r="AP31" s="243"/>
      <c r="AQ31" s="243"/>
      <c r="AR31" s="256"/>
      <c r="AT31" s="254">
        <v>20</v>
      </c>
      <c r="AU31" s="242"/>
      <c r="AV31" s="243"/>
      <c r="AW31" s="243"/>
      <c r="AX31" s="243"/>
      <c r="AY31" s="243"/>
      <c r="AZ31" s="243"/>
      <c r="BA31" s="243"/>
      <c r="BB31" s="243"/>
      <c r="BC31" s="243"/>
      <c r="BD31" s="243"/>
      <c r="BE31" s="243"/>
      <c r="BF31" s="243"/>
      <c r="BG31" s="256"/>
    </row>
    <row r="32" spans="1:59">
      <c r="A32" s="254">
        <v>21</v>
      </c>
      <c r="B32" s="242"/>
      <c r="C32" s="243"/>
      <c r="D32" s="243"/>
      <c r="E32" s="243"/>
      <c r="F32" s="243"/>
      <c r="G32" s="243"/>
      <c r="H32" s="243"/>
      <c r="I32" s="243"/>
      <c r="J32" s="243"/>
      <c r="K32" s="243"/>
      <c r="L32" s="243"/>
      <c r="M32" s="243"/>
      <c r="N32" s="256"/>
      <c r="P32" s="254">
        <v>21</v>
      </c>
      <c r="Q32" s="242"/>
      <c r="R32" s="243"/>
      <c r="S32" s="243"/>
      <c r="T32" s="243"/>
      <c r="U32" s="243"/>
      <c r="V32" s="243"/>
      <c r="W32" s="243"/>
      <c r="X32" s="243"/>
      <c r="Y32" s="243"/>
      <c r="Z32" s="243"/>
      <c r="AA32" s="243"/>
      <c r="AB32" s="243"/>
      <c r="AC32" s="256"/>
      <c r="AE32" s="254">
        <v>21</v>
      </c>
      <c r="AF32" s="242"/>
      <c r="AG32" s="243"/>
      <c r="AH32" s="243"/>
      <c r="AI32" s="243"/>
      <c r="AJ32" s="243"/>
      <c r="AK32" s="243"/>
      <c r="AL32" s="243"/>
      <c r="AM32" s="243"/>
      <c r="AN32" s="243"/>
      <c r="AO32" s="243"/>
      <c r="AP32" s="243"/>
      <c r="AQ32" s="243"/>
      <c r="AR32" s="256"/>
      <c r="AT32" s="254">
        <v>21</v>
      </c>
      <c r="AU32" s="242"/>
      <c r="AV32" s="243"/>
      <c r="AW32" s="243"/>
      <c r="AX32" s="243"/>
      <c r="AY32" s="243"/>
      <c r="AZ32" s="243"/>
      <c r="BA32" s="243"/>
      <c r="BB32" s="243"/>
      <c r="BC32" s="243"/>
      <c r="BD32" s="243"/>
      <c r="BE32" s="243"/>
      <c r="BF32" s="243"/>
      <c r="BG32" s="256"/>
    </row>
    <row r="33" spans="1:59">
      <c r="A33" s="254">
        <v>22</v>
      </c>
      <c r="B33" s="242"/>
      <c r="C33" s="243"/>
      <c r="D33" s="243"/>
      <c r="E33" s="243"/>
      <c r="F33" s="243"/>
      <c r="G33" s="243"/>
      <c r="H33" s="243"/>
      <c r="I33" s="243"/>
      <c r="J33" s="243"/>
      <c r="K33" s="243"/>
      <c r="L33" s="243"/>
      <c r="M33" s="243"/>
      <c r="N33" s="256"/>
      <c r="P33" s="254">
        <v>22</v>
      </c>
      <c r="Q33" s="242"/>
      <c r="R33" s="243"/>
      <c r="S33" s="243"/>
      <c r="T33" s="243"/>
      <c r="U33" s="243"/>
      <c r="V33" s="243"/>
      <c r="W33" s="243"/>
      <c r="X33" s="243"/>
      <c r="Y33" s="243"/>
      <c r="Z33" s="243"/>
      <c r="AA33" s="243"/>
      <c r="AB33" s="243"/>
      <c r="AC33" s="256"/>
      <c r="AE33" s="254">
        <v>22</v>
      </c>
      <c r="AF33" s="242"/>
      <c r="AG33" s="243"/>
      <c r="AH33" s="243"/>
      <c r="AI33" s="243"/>
      <c r="AJ33" s="243"/>
      <c r="AK33" s="243"/>
      <c r="AL33" s="243"/>
      <c r="AM33" s="243"/>
      <c r="AN33" s="243"/>
      <c r="AO33" s="243"/>
      <c r="AP33" s="243"/>
      <c r="AQ33" s="243"/>
      <c r="AR33" s="256"/>
      <c r="AT33" s="254">
        <v>22</v>
      </c>
      <c r="AU33" s="242"/>
      <c r="AV33" s="243"/>
      <c r="AW33" s="243"/>
      <c r="AX33" s="243"/>
      <c r="AY33" s="243"/>
      <c r="AZ33" s="243"/>
      <c r="BA33" s="243"/>
      <c r="BB33" s="243"/>
      <c r="BC33" s="243"/>
      <c r="BD33" s="243"/>
      <c r="BE33" s="243"/>
      <c r="BF33" s="243"/>
      <c r="BG33" s="256"/>
    </row>
    <row r="34" spans="1:59">
      <c r="A34" s="254">
        <v>23</v>
      </c>
      <c r="B34" s="242"/>
      <c r="C34" s="243"/>
      <c r="D34" s="243"/>
      <c r="E34" s="243"/>
      <c r="F34" s="243"/>
      <c r="G34" s="243"/>
      <c r="H34" s="243"/>
      <c r="I34" s="243"/>
      <c r="J34" s="243"/>
      <c r="K34" s="243"/>
      <c r="L34" s="243"/>
      <c r="M34" s="243"/>
      <c r="N34" s="256"/>
      <c r="P34" s="254">
        <v>23</v>
      </c>
      <c r="Q34" s="242"/>
      <c r="R34" s="243"/>
      <c r="S34" s="243"/>
      <c r="T34" s="243"/>
      <c r="U34" s="243"/>
      <c r="V34" s="243"/>
      <c r="W34" s="243"/>
      <c r="X34" s="243"/>
      <c r="Y34" s="243"/>
      <c r="Z34" s="243"/>
      <c r="AA34" s="243"/>
      <c r="AB34" s="243"/>
      <c r="AC34" s="256"/>
      <c r="AE34" s="254">
        <v>23</v>
      </c>
      <c r="AF34" s="242"/>
      <c r="AG34" s="243"/>
      <c r="AH34" s="243"/>
      <c r="AI34" s="243"/>
      <c r="AJ34" s="243"/>
      <c r="AK34" s="243"/>
      <c r="AL34" s="243"/>
      <c r="AM34" s="243"/>
      <c r="AN34" s="243"/>
      <c r="AO34" s="243"/>
      <c r="AP34" s="243"/>
      <c r="AQ34" s="243"/>
      <c r="AR34" s="256"/>
      <c r="AT34" s="254">
        <v>23</v>
      </c>
      <c r="AU34" s="242"/>
      <c r="AV34" s="243"/>
      <c r="AW34" s="243"/>
      <c r="AX34" s="243"/>
      <c r="AY34" s="243"/>
      <c r="AZ34" s="243"/>
      <c r="BA34" s="243"/>
      <c r="BB34" s="243"/>
      <c r="BC34" s="243"/>
      <c r="BD34" s="243"/>
      <c r="BE34" s="243"/>
      <c r="BF34" s="243"/>
      <c r="BG34" s="256"/>
    </row>
    <row r="35" spans="1:59">
      <c r="A35" s="254">
        <v>24</v>
      </c>
      <c r="B35" s="242"/>
      <c r="C35" s="243"/>
      <c r="D35" s="243"/>
      <c r="E35" s="243"/>
      <c r="F35" s="243"/>
      <c r="G35" s="243"/>
      <c r="H35" s="243"/>
      <c r="I35" s="243"/>
      <c r="J35" s="243"/>
      <c r="K35" s="243"/>
      <c r="L35" s="243"/>
      <c r="M35" s="243"/>
      <c r="N35" s="256"/>
      <c r="P35" s="254">
        <v>24</v>
      </c>
      <c r="Q35" s="242"/>
      <c r="R35" s="243"/>
      <c r="S35" s="243"/>
      <c r="T35" s="243"/>
      <c r="U35" s="243"/>
      <c r="V35" s="243"/>
      <c r="W35" s="243"/>
      <c r="X35" s="243"/>
      <c r="Y35" s="243"/>
      <c r="Z35" s="243"/>
      <c r="AA35" s="243"/>
      <c r="AB35" s="243"/>
      <c r="AC35" s="256"/>
      <c r="AE35" s="254">
        <v>24</v>
      </c>
      <c r="AF35" s="242"/>
      <c r="AG35" s="243"/>
      <c r="AH35" s="243"/>
      <c r="AI35" s="243"/>
      <c r="AJ35" s="243"/>
      <c r="AK35" s="243"/>
      <c r="AL35" s="243"/>
      <c r="AM35" s="243"/>
      <c r="AN35" s="243"/>
      <c r="AO35" s="243"/>
      <c r="AP35" s="243"/>
      <c r="AQ35" s="243"/>
      <c r="AR35" s="256"/>
      <c r="AT35" s="254">
        <v>24</v>
      </c>
      <c r="AU35" s="242"/>
      <c r="AV35" s="243"/>
      <c r="AW35" s="243"/>
      <c r="AX35" s="243"/>
      <c r="AY35" s="243"/>
      <c r="AZ35" s="243"/>
      <c r="BA35" s="243"/>
      <c r="BB35" s="243"/>
      <c r="BC35" s="243"/>
      <c r="BD35" s="243"/>
      <c r="BE35" s="243"/>
      <c r="BF35" s="243"/>
      <c r="BG35" s="256"/>
    </row>
    <row r="36" spans="1:59">
      <c r="A36" s="254">
        <v>25</v>
      </c>
      <c r="B36" s="242"/>
      <c r="C36" s="243"/>
      <c r="D36" s="243"/>
      <c r="E36" s="243"/>
      <c r="F36" s="243"/>
      <c r="G36" s="243"/>
      <c r="H36" s="243"/>
      <c r="I36" s="243"/>
      <c r="J36" s="243"/>
      <c r="K36" s="243"/>
      <c r="L36" s="243"/>
      <c r="M36" s="243"/>
      <c r="N36" s="256"/>
      <c r="P36" s="254">
        <v>25</v>
      </c>
      <c r="Q36" s="242"/>
      <c r="R36" s="243"/>
      <c r="S36" s="243"/>
      <c r="T36" s="243"/>
      <c r="U36" s="243"/>
      <c r="V36" s="243"/>
      <c r="W36" s="243"/>
      <c r="X36" s="243"/>
      <c r="Y36" s="243"/>
      <c r="Z36" s="243"/>
      <c r="AA36" s="243"/>
      <c r="AB36" s="243"/>
      <c r="AC36" s="256"/>
      <c r="AE36" s="254">
        <v>25</v>
      </c>
      <c r="AF36" s="242"/>
      <c r="AG36" s="243"/>
      <c r="AH36" s="243"/>
      <c r="AI36" s="243"/>
      <c r="AJ36" s="243"/>
      <c r="AK36" s="243"/>
      <c r="AL36" s="243"/>
      <c r="AM36" s="243"/>
      <c r="AN36" s="243"/>
      <c r="AO36" s="243"/>
      <c r="AP36" s="243"/>
      <c r="AQ36" s="243"/>
      <c r="AR36" s="256"/>
      <c r="AT36" s="254">
        <v>25</v>
      </c>
      <c r="AU36" s="242"/>
      <c r="AV36" s="243"/>
      <c r="AW36" s="243"/>
      <c r="AX36" s="243"/>
      <c r="AY36" s="243"/>
      <c r="AZ36" s="243"/>
      <c r="BA36" s="243"/>
      <c r="BB36" s="243"/>
      <c r="BC36" s="243"/>
      <c r="BD36" s="243"/>
      <c r="BE36" s="243"/>
      <c r="BF36" s="243"/>
      <c r="BG36" s="256"/>
    </row>
    <row r="37" spans="1:59">
      <c r="A37" s="254">
        <v>26</v>
      </c>
      <c r="B37" s="242"/>
      <c r="C37" s="243"/>
      <c r="D37" s="243"/>
      <c r="E37" s="243"/>
      <c r="F37" s="243"/>
      <c r="G37" s="243"/>
      <c r="H37" s="243"/>
      <c r="I37" s="243"/>
      <c r="J37" s="243"/>
      <c r="K37" s="243"/>
      <c r="L37" s="243"/>
      <c r="M37" s="243"/>
      <c r="N37" s="256"/>
      <c r="P37" s="254">
        <v>26</v>
      </c>
      <c r="Q37" s="242"/>
      <c r="R37" s="243"/>
      <c r="S37" s="243"/>
      <c r="T37" s="243"/>
      <c r="U37" s="243"/>
      <c r="V37" s="243"/>
      <c r="W37" s="243"/>
      <c r="X37" s="243"/>
      <c r="Y37" s="243"/>
      <c r="Z37" s="243"/>
      <c r="AA37" s="243"/>
      <c r="AB37" s="243"/>
      <c r="AC37" s="256"/>
      <c r="AE37" s="254">
        <v>26</v>
      </c>
      <c r="AF37" s="242"/>
      <c r="AG37" s="243"/>
      <c r="AH37" s="243"/>
      <c r="AI37" s="243"/>
      <c r="AJ37" s="243"/>
      <c r="AK37" s="243"/>
      <c r="AL37" s="243"/>
      <c r="AM37" s="243"/>
      <c r="AN37" s="243"/>
      <c r="AO37" s="243"/>
      <c r="AP37" s="243"/>
      <c r="AQ37" s="243"/>
      <c r="AR37" s="256"/>
      <c r="AT37" s="254">
        <v>26</v>
      </c>
      <c r="AU37" s="242"/>
      <c r="AV37" s="243"/>
      <c r="AW37" s="243"/>
      <c r="AX37" s="243"/>
      <c r="AY37" s="243"/>
      <c r="AZ37" s="243"/>
      <c r="BA37" s="243"/>
      <c r="BB37" s="243"/>
      <c r="BC37" s="243"/>
      <c r="BD37" s="243"/>
      <c r="BE37" s="243"/>
      <c r="BF37" s="243"/>
      <c r="BG37" s="256"/>
    </row>
    <row r="38" spans="1:59">
      <c r="A38" s="254">
        <v>27</v>
      </c>
      <c r="B38" s="242"/>
      <c r="C38" s="243"/>
      <c r="D38" s="243"/>
      <c r="E38" s="243"/>
      <c r="F38" s="243"/>
      <c r="G38" s="243"/>
      <c r="H38" s="243"/>
      <c r="I38" s="243"/>
      <c r="J38" s="243"/>
      <c r="K38" s="243"/>
      <c r="L38" s="243"/>
      <c r="M38" s="243"/>
      <c r="N38" s="256"/>
      <c r="P38" s="254">
        <v>27</v>
      </c>
      <c r="Q38" s="242"/>
      <c r="R38" s="243"/>
      <c r="S38" s="243"/>
      <c r="T38" s="243"/>
      <c r="U38" s="243"/>
      <c r="V38" s="243"/>
      <c r="W38" s="243"/>
      <c r="X38" s="243"/>
      <c r="Y38" s="243"/>
      <c r="Z38" s="243"/>
      <c r="AA38" s="243"/>
      <c r="AB38" s="243"/>
      <c r="AC38" s="256"/>
      <c r="AE38" s="254">
        <v>27</v>
      </c>
      <c r="AF38" s="242"/>
      <c r="AG38" s="243"/>
      <c r="AH38" s="243"/>
      <c r="AI38" s="243"/>
      <c r="AJ38" s="243"/>
      <c r="AK38" s="243"/>
      <c r="AL38" s="243"/>
      <c r="AM38" s="243"/>
      <c r="AN38" s="243"/>
      <c r="AO38" s="243"/>
      <c r="AP38" s="243"/>
      <c r="AQ38" s="243"/>
      <c r="AR38" s="256"/>
      <c r="AT38" s="254">
        <v>27</v>
      </c>
      <c r="AU38" s="242"/>
      <c r="AV38" s="243"/>
      <c r="AW38" s="243"/>
      <c r="AX38" s="243"/>
      <c r="AY38" s="243"/>
      <c r="AZ38" s="243"/>
      <c r="BA38" s="243"/>
      <c r="BB38" s="243"/>
      <c r="BC38" s="243"/>
      <c r="BD38" s="243"/>
      <c r="BE38" s="243"/>
      <c r="BF38" s="243"/>
      <c r="BG38" s="256"/>
    </row>
    <row r="39" spans="1:59">
      <c r="A39" s="254">
        <v>28</v>
      </c>
      <c r="B39" s="242"/>
      <c r="C39" s="243"/>
      <c r="D39" s="243"/>
      <c r="E39" s="243"/>
      <c r="F39" s="243"/>
      <c r="G39" s="243"/>
      <c r="H39" s="243"/>
      <c r="I39" s="243"/>
      <c r="J39" s="243"/>
      <c r="K39" s="243"/>
      <c r="L39" s="243"/>
      <c r="M39" s="243"/>
      <c r="N39" s="256"/>
      <c r="P39" s="254">
        <v>28</v>
      </c>
      <c r="Q39" s="242"/>
      <c r="R39" s="243"/>
      <c r="S39" s="243"/>
      <c r="T39" s="243"/>
      <c r="U39" s="243"/>
      <c r="V39" s="243"/>
      <c r="W39" s="243"/>
      <c r="X39" s="243"/>
      <c r="Y39" s="243"/>
      <c r="Z39" s="243"/>
      <c r="AA39" s="243"/>
      <c r="AB39" s="243"/>
      <c r="AC39" s="256"/>
      <c r="AE39" s="254">
        <v>28</v>
      </c>
      <c r="AF39" s="242"/>
      <c r="AG39" s="243"/>
      <c r="AH39" s="243"/>
      <c r="AI39" s="243"/>
      <c r="AJ39" s="243"/>
      <c r="AK39" s="243"/>
      <c r="AL39" s="243"/>
      <c r="AM39" s="243"/>
      <c r="AN39" s="243"/>
      <c r="AO39" s="243"/>
      <c r="AP39" s="243"/>
      <c r="AQ39" s="243"/>
      <c r="AR39" s="256"/>
      <c r="AT39" s="254">
        <v>28</v>
      </c>
      <c r="AU39" s="242"/>
      <c r="AV39" s="243"/>
      <c r="AW39" s="243"/>
      <c r="AX39" s="243"/>
      <c r="AY39" s="243"/>
      <c r="AZ39" s="243"/>
      <c r="BA39" s="243"/>
      <c r="BB39" s="243"/>
      <c r="BC39" s="243"/>
      <c r="BD39" s="243"/>
      <c r="BE39" s="243"/>
      <c r="BF39" s="243"/>
      <c r="BG39" s="256"/>
    </row>
    <row r="40" spans="1:59">
      <c r="A40" s="254">
        <v>29</v>
      </c>
      <c r="B40" s="242"/>
      <c r="C40" s="243"/>
      <c r="D40" s="243"/>
      <c r="E40" s="243"/>
      <c r="F40" s="243"/>
      <c r="G40" s="243"/>
      <c r="H40" s="243"/>
      <c r="I40" s="243"/>
      <c r="J40" s="243"/>
      <c r="K40" s="243"/>
      <c r="L40" s="243"/>
      <c r="M40" s="243"/>
      <c r="N40" s="256"/>
      <c r="P40" s="254">
        <v>29</v>
      </c>
      <c r="Q40" s="242"/>
      <c r="R40" s="243"/>
      <c r="S40" s="243"/>
      <c r="T40" s="243"/>
      <c r="U40" s="243"/>
      <c r="V40" s="243"/>
      <c r="W40" s="243"/>
      <c r="X40" s="243"/>
      <c r="Y40" s="243"/>
      <c r="Z40" s="243"/>
      <c r="AA40" s="243"/>
      <c r="AB40" s="243"/>
      <c r="AC40" s="256"/>
      <c r="AE40" s="254">
        <v>29</v>
      </c>
      <c r="AF40" s="242"/>
      <c r="AG40" s="243"/>
      <c r="AH40" s="243"/>
      <c r="AI40" s="243"/>
      <c r="AJ40" s="243"/>
      <c r="AK40" s="243"/>
      <c r="AL40" s="243"/>
      <c r="AM40" s="243"/>
      <c r="AN40" s="243"/>
      <c r="AO40" s="243"/>
      <c r="AP40" s="243"/>
      <c r="AQ40" s="243"/>
      <c r="AR40" s="256"/>
      <c r="AT40" s="254">
        <v>29</v>
      </c>
      <c r="AU40" s="242"/>
      <c r="AV40" s="243"/>
      <c r="AW40" s="243"/>
      <c r="AX40" s="243"/>
      <c r="AY40" s="243"/>
      <c r="AZ40" s="243"/>
      <c r="BA40" s="243"/>
      <c r="BB40" s="243"/>
      <c r="BC40" s="243"/>
      <c r="BD40" s="243"/>
      <c r="BE40" s="243"/>
      <c r="BF40" s="243"/>
      <c r="BG40" s="256"/>
    </row>
    <row r="41" spans="1:59">
      <c r="A41" s="254">
        <v>30</v>
      </c>
      <c r="B41" s="242"/>
      <c r="C41" s="243"/>
      <c r="D41" s="243"/>
      <c r="E41" s="243"/>
      <c r="F41" s="243"/>
      <c r="G41" s="243"/>
      <c r="H41" s="243"/>
      <c r="I41" s="243"/>
      <c r="J41" s="243"/>
      <c r="K41" s="243"/>
      <c r="L41" s="243"/>
      <c r="M41" s="243"/>
      <c r="N41" s="256"/>
      <c r="P41" s="254">
        <v>30</v>
      </c>
      <c r="Q41" s="242"/>
      <c r="R41" s="243"/>
      <c r="S41" s="243"/>
      <c r="T41" s="243"/>
      <c r="U41" s="243"/>
      <c r="V41" s="243"/>
      <c r="W41" s="243"/>
      <c r="X41" s="243"/>
      <c r="Y41" s="243"/>
      <c r="Z41" s="243"/>
      <c r="AA41" s="243"/>
      <c r="AB41" s="243"/>
      <c r="AC41" s="256"/>
      <c r="AE41" s="254">
        <v>30</v>
      </c>
      <c r="AF41" s="242"/>
      <c r="AG41" s="243"/>
      <c r="AH41" s="243"/>
      <c r="AI41" s="243"/>
      <c r="AJ41" s="243"/>
      <c r="AK41" s="243"/>
      <c r="AL41" s="243"/>
      <c r="AM41" s="243"/>
      <c r="AN41" s="243"/>
      <c r="AO41" s="243"/>
      <c r="AP41" s="243"/>
      <c r="AQ41" s="243"/>
      <c r="AR41" s="256"/>
      <c r="AT41" s="254">
        <v>30</v>
      </c>
      <c r="AU41" s="242"/>
      <c r="AV41" s="243"/>
      <c r="AW41" s="243"/>
      <c r="AX41" s="243"/>
      <c r="AY41" s="243"/>
      <c r="AZ41" s="243"/>
      <c r="BA41" s="243"/>
      <c r="BB41" s="243"/>
      <c r="BC41" s="243"/>
      <c r="BD41" s="243"/>
      <c r="BE41" s="243"/>
      <c r="BF41" s="243"/>
      <c r="BG41" s="256"/>
    </row>
    <row r="42" spans="1:59">
      <c r="A42" s="254">
        <v>31</v>
      </c>
      <c r="B42" s="242"/>
      <c r="C42" s="243"/>
      <c r="D42" s="243"/>
      <c r="E42" s="243"/>
      <c r="F42" s="243"/>
      <c r="G42" s="243"/>
      <c r="H42" s="243"/>
      <c r="I42" s="243"/>
      <c r="J42" s="243"/>
      <c r="K42" s="243"/>
      <c r="L42" s="243"/>
      <c r="M42" s="243"/>
      <c r="N42" s="256"/>
      <c r="P42" s="254">
        <v>31</v>
      </c>
      <c r="Q42" s="242"/>
      <c r="R42" s="243"/>
      <c r="S42" s="243"/>
      <c r="T42" s="243"/>
      <c r="U42" s="243"/>
      <c r="V42" s="243"/>
      <c r="W42" s="243"/>
      <c r="X42" s="243"/>
      <c r="Y42" s="243"/>
      <c r="Z42" s="243"/>
      <c r="AA42" s="243"/>
      <c r="AB42" s="243"/>
      <c r="AC42" s="256"/>
      <c r="AE42" s="254">
        <v>31</v>
      </c>
      <c r="AF42" s="242"/>
      <c r="AG42" s="243"/>
      <c r="AH42" s="243"/>
      <c r="AI42" s="243"/>
      <c r="AJ42" s="243"/>
      <c r="AK42" s="243"/>
      <c r="AL42" s="243"/>
      <c r="AM42" s="243"/>
      <c r="AN42" s="243"/>
      <c r="AO42" s="243"/>
      <c r="AP42" s="243"/>
      <c r="AQ42" s="243"/>
      <c r="AR42" s="256"/>
      <c r="AT42" s="254">
        <v>31</v>
      </c>
      <c r="AU42" s="242"/>
      <c r="AV42" s="243"/>
      <c r="AW42" s="243"/>
      <c r="AX42" s="243"/>
      <c r="AY42" s="243"/>
      <c r="AZ42" s="243"/>
      <c r="BA42" s="243"/>
      <c r="BB42" s="243"/>
      <c r="BC42" s="243"/>
      <c r="BD42" s="243"/>
      <c r="BE42" s="243"/>
      <c r="BF42" s="243"/>
      <c r="BG42" s="256"/>
    </row>
    <row r="43" spans="1:59">
      <c r="A43" s="254">
        <v>32</v>
      </c>
      <c r="B43" s="242"/>
      <c r="C43" s="243"/>
      <c r="D43" s="243"/>
      <c r="E43" s="243"/>
      <c r="F43" s="243"/>
      <c r="G43" s="243"/>
      <c r="H43" s="243"/>
      <c r="I43" s="243"/>
      <c r="J43" s="243"/>
      <c r="K43" s="243"/>
      <c r="L43" s="243"/>
      <c r="M43" s="243"/>
      <c r="N43" s="256"/>
      <c r="P43" s="254">
        <v>32</v>
      </c>
      <c r="Q43" s="242"/>
      <c r="R43" s="243"/>
      <c r="S43" s="243"/>
      <c r="T43" s="243"/>
      <c r="U43" s="243"/>
      <c r="V43" s="243"/>
      <c r="W43" s="243"/>
      <c r="X43" s="243"/>
      <c r="Y43" s="243"/>
      <c r="Z43" s="243"/>
      <c r="AA43" s="243"/>
      <c r="AB43" s="243"/>
      <c r="AC43" s="256"/>
      <c r="AE43" s="254">
        <v>32</v>
      </c>
      <c r="AF43" s="242"/>
      <c r="AG43" s="243"/>
      <c r="AH43" s="243"/>
      <c r="AI43" s="243"/>
      <c r="AJ43" s="243"/>
      <c r="AK43" s="243"/>
      <c r="AL43" s="243"/>
      <c r="AM43" s="243"/>
      <c r="AN43" s="243"/>
      <c r="AO43" s="243"/>
      <c r="AP43" s="243"/>
      <c r="AQ43" s="243"/>
      <c r="AR43" s="256"/>
      <c r="AT43" s="254">
        <v>32</v>
      </c>
      <c r="AU43" s="242"/>
      <c r="AV43" s="243"/>
      <c r="AW43" s="243"/>
      <c r="AX43" s="243"/>
      <c r="AY43" s="243"/>
      <c r="AZ43" s="243"/>
      <c r="BA43" s="243"/>
      <c r="BB43" s="243"/>
      <c r="BC43" s="243"/>
      <c r="BD43" s="243"/>
      <c r="BE43" s="243"/>
      <c r="BF43" s="243"/>
      <c r="BG43" s="256"/>
    </row>
    <row r="44" spans="1:59">
      <c r="A44" s="254">
        <v>33</v>
      </c>
      <c r="B44" s="242"/>
      <c r="C44" s="243"/>
      <c r="D44" s="243"/>
      <c r="E44" s="243"/>
      <c r="F44" s="243"/>
      <c r="G44" s="243"/>
      <c r="H44" s="243"/>
      <c r="I44" s="243"/>
      <c r="J44" s="243"/>
      <c r="K44" s="243"/>
      <c r="L44" s="243"/>
      <c r="M44" s="243"/>
      <c r="N44" s="256"/>
      <c r="P44" s="254">
        <v>33</v>
      </c>
      <c r="Q44" s="242"/>
      <c r="R44" s="243"/>
      <c r="S44" s="243"/>
      <c r="T44" s="243"/>
      <c r="U44" s="243"/>
      <c r="V44" s="243"/>
      <c r="W44" s="243"/>
      <c r="X44" s="243"/>
      <c r="Y44" s="243"/>
      <c r="Z44" s="243"/>
      <c r="AA44" s="243"/>
      <c r="AB44" s="243"/>
      <c r="AC44" s="256"/>
      <c r="AE44" s="254">
        <v>33</v>
      </c>
      <c r="AF44" s="242"/>
      <c r="AG44" s="243"/>
      <c r="AH44" s="243"/>
      <c r="AI44" s="243"/>
      <c r="AJ44" s="243"/>
      <c r="AK44" s="243"/>
      <c r="AL44" s="243"/>
      <c r="AM44" s="243"/>
      <c r="AN44" s="243"/>
      <c r="AO44" s="243"/>
      <c r="AP44" s="243"/>
      <c r="AQ44" s="243"/>
      <c r="AR44" s="256"/>
      <c r="AT44" s="254">
        <v>33</v>
      </c>
      <c r="AU44" s="242"/>
      <c r="AV44" s="243"/>
      <c r="AW44" s="243"/>
      <c r="AX44" s="243"/>
      <c r="AY44" s="243"/>
      <c r="AZ44" s="243"/>
      <c r="BA44" s="243"/>
      <c r="BB44" s="243"/>
      <c r="BC44" s="243"/>
      <c r="BD44" s="243"/>
      <c r="BE44" s="243"/>
      <c r="BF44" s="243"/>
      <c r="BG44" s="256"/>
    </row>
    <row r="45" spans="1:59">
      <c r="A45" s="254">
        <v>34</v>
      </c>
      <c r="B45" s="242"/>
      <c r="C45" s="243"/>
      <c r="D45" s="243"/>
      <c r="E45" s="243"/>
      <c r="F45" s="243"/>
      <c r="G45" s="243"/>
      <c r="H45" s="243"/>
      <c r="I45" s="243"/>
      <c r="J45" s="243"/>
      <c r="K45" s="243"/>
      <c r="L45" s="243"/>
      <c r="M45" s="243"/>
      <c r="N45" s="256"/>
      <c r="P45" s="254">
        <v>34</v>
      </c>
      <c r="Q45" s="242"/>
      <c r="R45" s="243"/>
      <c r="S45" s="243"/>
      <c r="T45" s="243"/>
      <c r="U45" s="243"/>
      <c r="V45" s="243"/>
      <c r="W45" s="243"/>
      <c r="X45" s="243"/>
      <c r="Y45" s="243"/>
      <c r="Z45" s="243"/>
      <c r="AA45" s="243"/>
      <c r="AB45" s="243"/>
      <c r="AC45" s="256"/>
      <c r="AE45" s="254">
        <v>34</v>
      </c>
      <c r="AF45" s="242"/>
      <c r="AG45" s="243"/>
      <c r="AH45" s="243"/>
      <c r="AI45" s="243"/>
      <c r="AJ45" s="243"/>
      <c r="AK45" s="243"/>
      <c r="AL45" s="243"/>
      <c r="AM45" s="243"/>
      <c r="AN45" s="243"/>
      <c r="AO45" s="243"/>
      <c r="AP45" s="243"/>
      <c r="AQ45" s="243"/>
      <c r="AR45" s="256"/>
      <c r="AT45" s="254">
        <v>34</v>
      </c>
      <c r="AU45" s="242"/>
      <c r="AV45" s="243"/>
      <c r="AW45" s="243"/>
      <c r="AX45" s="243"/>
      <c r="AY45" s="243"/>
      <c r="AZ45" s="243"/>
      <c r="BA45" s="243"/>
      <c r="BB45" s="243"/>
      <c r="BC45" s="243"/>
      <c r="BD45" s="243"/>
      <c r="BE45" s="243"/>
      <c r="BF45" s="243"/>
      <c r="BG45" s="256"/>
    </row>
    <row r="46" spans="1:59">
      <c r="A46" s="254">
        <v>35</v>
      </c>
      <c r="B46" s="242"/>
      <c r="C46" s="243"/>
      <c r="D46" s="243"/>
      <c r="E46" s="243"/>
      <c r="F46" s="243"/>
      <c r="G46" s="243"/>
      <c r="H46" s="243"/>
      <c r="I46" s="243"/>
      <c r="J46" s="243"/>
      <c r="K46" s="243"/>
      <c r="L46" s="243"/>
      <c r="M46" s="243"/>
      <c r="N46" s="256"/>
      <c r="P46" s="254">
        <v>35</v>
      </c>
      <c r="Q46" s="242"/>
      <c r="R46" s="243"/>
      <c r="S46" s="243"/>
      <c r="T46" s="243"/>
      <c r="U46" s="243"/>
      <c r="V46" s="243"/>
      <c r="W46" s="243"/>
      <c r="X46" s="243"/>
      <c r="Y46" s="243"/>
      <c r="Z46" s="243"/>
      <c r="AA46" s="243"/>
      <c r="AB46" s="243"/>
      <c r="AC46" s="256"/>
      <c r="AE46" s="254">
        <v>35</v>
      </c>
      <c r="AF46" s="242"/>
      <c r="AG46" s="243"/>
      <c r="AH46" s="243"/>
      <c r="AI46" s="243"/>
      <c r="AJ46" s="243"/>
      <c r="AK46" s="243"/>
      <c r="AL46" s="243"/>
      <c r="AM46" s="243"/>
      <c r="AN46" s="243"/>
      <c r="AO46" s="243"/>
      <c r="AP46" s="243"/>
      <c r="AQ46" s="243"/>
      <c r="AR46" s="256"/>
      <c r="AT46" s="254">
        <v>35</v>
      </c>
      <c r="AU46" s="242"/>
      <c r="AV46" s="243"/>
      <c r="AW46" s="243"/>
      <c r="AX46" s="243"/>
      <c r="AY46" s="243"/>
      <c r="AZ46" s="243"/>
      <c r="BA46" s="243"/>
      <c r="BB46" s="243"/>
      <c r="BC46" s="243"/>
      <c r="BD46" s="243"/>
      <c r="BE46" s="243"/>
      <c r="BF46" s="243"/>
      <c r="BG46" s="256"/>
    </row>
    <row r="47" spans="1:59">
      <c r="A47" s="254">
        <v>36</v>
      </c>
      <c r="B47" s="242"/>
      <c r="C47" s="243"/>
      <c r="D47" s="243"/>
      <c r="E47" s="243"/>
      <c r="F47" s="243"/>
      <c r="G47" s="243"/>
      <c r="H47" s="243"/>
      <c r="I47" s="243"/>
      <c r="J47" s="243"/>
      <c r="K47" s="243"/>
      <c r="L47" s="243"/>
      <c r="M47" s="243"/>
      <c r="N47" s="256"/>
      <c r="P47" s="254">
        <v>36</v>
      </c>
      <c r="Q47" s="242"/>
      <c r="R47" s="243"/>
      <c r="S47" s="243"/>
      <c r="T47" s="243"/>
      <c r="U47" s="243"/>
      <c r="V47" s="243"/>
      <c r="W47" s="243"/>
      <c r="X47" s="243"/>
      <c r="Y47" s="243"/>
      <c r="Z47" s="243"/>
      <c r="AA47" s="243"/>
      <c r="AB47" s="243"/>
      <c r="AC47" s="256"/>
      <c r="AE47" s="254">
        <v>36</v>
      </c>
      <c r="AF47" s="242"/>
      <c r="AG47" s="243"/>
      <c r="AH47" s="243"/>
      <c r="AI47" s="243"/>
      <c r="AJ47" s="243"/>
      <c r="AK47" s="243"/>
      <c r="AL47" s="243"/>
      <c r="AM47" s="243"/>
      <c r="AN47" s="243"/>
      <c r="AO47" s="243"/>
      <c r="AP47" s="243"/>
      <c r="AQ47" s="243"/>
      <c r="AR47" s="256"/>
      <c r="AT47" s="254">
        <v>36</v>
      </c>
      <c r="AU47" s="242"/>
      <c r="AV47" s="243"/>
      <c r="AW47" s="243"/>
      <c r="AX47" s="243"/>
      <c r="AY47" s="243"/>
      <c r="AZ47" s="243"/>
      <c r="BA47" s="243"/>
      <c r="BB47" s="243"/>
      <c r="BC47" s="243"/>
      <c r="BD47" s="243"/>
      <c r="BE47" s="243"/>
      <c r="BF47" s="243"/>
      <c r="BG47" s="256"/>
    </row>
    <row r="48" spans="1:59">
      <c r="A48" s="254">
        <v>37</v>
      </c>
      <c r="B48" s="242"/>
      <c r="C48" s="243"/>
      <c r="D48" s="243"/>
      <c r="E48" s="243"/>
      <c r="F48" s="243"/>
      <c r="G48" s="243"/>
      <c r="H48" s="243"/>
      <c r="I48" s="243"/>
      <c r="J48" s="243"/>
      <c r="K48" s="243"/>
      <c r="L48" s="243"/>
      <c r="M48" s="243"/>
      <c r="N48" s="256"/>
      <c r="P48" s="254">
        <v>37</v>
      </c>
      <c r="Q48" s="242"/>
      <c r="R48" s="243"/>
      <c r="S48" s="243"/>
      <c r="T48" s="243"/>
      <c r="U48" s="243"/>
      <c r="V48" s="243"/>
      <c r="W48" s="243"/>
      <c r="X48" s="243"/>
      <c r="Y48" s="243"/>
      <c r="Z48" s="243"/>
      <c r="AA48" s="243"/>
      <c r="AB48" s="243"/>
      <c r="AC48" s="256"/>
      <c r="AE48" s="254">
        <v>37</v>
      </c>
      <c r="AF48" s="242"/>
      <c r="AG48" s="243"/>
      <c r="AH48" s="243"/>
      <c r="AI48" s="243"/>
      <c r="AJ48" s="243"/>
      <c r="AK48" s="243"/>
      <c r="AL48" s="243"/>
      <c r="AM48" s="243"/>
      <c r="AN48" s="243"/>
      <c r="AO48" s="243"/>
      <c r="AP48" s="243"/>
      <c r="AQ48" s="243"/>
      <c r="AR48" s="256"/>
      <c r="AT48" s="254">
        <v>37</v>
      </c>
      <c r="AU48" s="242"/>
      <c r="AV48" s="243"/>
      <c r="AW48" s="243"/>
      <c r="AX48" s="243"/>
      <c r="AY48" s="243"/>
      <c r="AZ48" s="243"/>
      <c r="BA48" s="243"/>
      <c r="BB48" s="243"/>
      <c r="BC48" s="243"/>
      <c r="BD48" s="243"/>
      <c r="BE48" s="243"/>
      <c r="BF48" s="243"/>
      <c r="BG48" s="256"/>
    </row>
    <row r="49" spans="1:59">
      <c r="A49" s="254">
        <v>38</v>
      </c>
      <c r="B49" s="242"/>
      <c r="C49" s="243"/>
      <c r="D49" s="243"/>
      <c r="E49" s="243"/>
      <c r="F49" s="243"/>
      <c r="G49" s="243"/>
      <c r="H49" s="243"/>
      <c r="I49" s="243"/>
      <c r="J49" s="243"/>
      <c r="K49" s="243"/>
      <c r="L49" s="243"/>
      <c r="M49" s="243"/>
      <c r="N49" s="256"/>
      <c r="P49" s="254">
        <v>38</v>
      </c>
      <c r="Q49" s="242"/>
      <c r="R49" s="243"/>
      <c r="S49" s="243"/>
      <c r="T49" s="243"/>
      <c r="U49" s="243"/>
      <c r="V49" s="243"/>
      <c r="W49" s="243"/>
      <c r="X49" s="243"/>
      <c r="Y49" s="243"/>
      <c r="Z49" s="243"/>
      <c r="AA49" s="243"/>
      <c r="AB49" s="243"/>
      <c r="AC49" s="256"/>
      <c r="AE49" s="254">
        <v>38</v>
      </c>
      <c r="AF49" s="242"/>
      <c r="AG49" s="243"/>
      <c r="AH49" s="243"/>
      <c r="AI49" s="243"/>
      <c r="AJ49" s="243"/>
      <c r="AK49" s="243"/>
      <c r="AL49" s="243"/>
      <c r="AM49" s="243"/>
      <c r="AN49" s="243"/>
      <c r="AO49" s="243"/>
      <c r="AP49" s="243"/>
      <c r="AQ49" s="243"/>
      <c r="AR49" s="256"/>
      <c r="AT49" s="254">
        <v>38</v>
      </c>
      <c r="AU49" s="242"/>
      <c r="AV49" s="243"/>
      <c r="AW49" s="243"/>
      <c r="AX49" s="243"/>
      <c r="AY49" s="243"/>
      <c r="AZ49" s="243"/>
      <c r="BA49" s="243"/>
      <c r="BB49" s="243"/>
      <c r="BC49" s="243"/>
      <c r="BD49" s="243"/>
      <c r="BE49" s="243"/>
      <c r="BF49" s="243"/>
      <c r="BG49" s="256"/>
    </row>
    <row r="50" spans="1:59">
      <c r="A50" s="254">
        <v>39</v>
      </c>
      <c r="B50" s="242"/>
      <c r="C50" s="243"/>
      <c r="D50" s="243"/>
      <c r="E50" s="243"/>
      <c r="F50" s="243"/>
      <c r="G50" s="243"/>
      <c r="H50" s="243"/>
      <c r="I50" s="243"/>
      <c r="J50" s="243"/>
      <c r="K50" s="243"/>
      <c r="L50" s="243"/>
      <c r="M50" s="243"/>
      <c r="N50" s="256"/>
      <c r="P50" s="254">
        <v>39</v>
      </c>
      <c r="Q50" s="242"/>
      <c r="R50" s="243"/>
      <c r="S50" s="243"/>
      <c r="T50" s="243"/>
      <c r="U50" s="243"/>
      <c r="V50" s="243"/>
      <c r="W50" s="243"/>
      <c r="X50" s="243"/>
      <c r="Y50" s="243"/>
      <c r="Z50" s="243"/>
      <c r="AA50" s="243"/>
      <c r="AB50" s="243"/>
      <c r="AC50" s="256"/>
      <c r="AE50" s="254">
        <v>39</v>
      </c>
      <c r="AF50" s="242"/>
      <c r="AG50" s="243"/>
      <c r="AH50" s="243"/>
      <c r="AI50" s="243"/>
      <c r="AJ50" s="243"/>
      <c r="AK50" s="243"/>
      <c r="AL50" s="243"/>
      <c r="AM50" s="243"/>
      <c r="AN50" s="243"/>
      <c r="AO50" s="243"/>
      <c r="AP50" s="243"/>
      <c r="AQ50" s="243"/>
      <c r="AR50" s="256"/>
      <c r="AT50" s="254">
        <v>39</v>
      </c>
      <c r="AU50" s="242"/>
      <c r="AV50" s="243"/>
      <c r="AW50" s="243"/>
      <c r="AX50" s="243"/>
      <c r="AY50" s="243"/>
      <c r="AZ50" s="243"/>
      <c r="BA50" s="243"/>
      <c r="BB50" s="243"/>
      <c r="BC50" s="243"/>
      <c r="BD50" s="243"/>
      <c r="BE50" s="243"/>
      <c r="BF50" s="243"/>
      <c r="BG50" s="256"/>
    </row>
    <row r="51" spans="1:59">
      <c r="A51" s="254">
        <v>40</v>
      </c>
      <c r="B51" s="242"/>
      <c r="C51" s="243"/>
      <c r="D51" s="243"/>
      <c r="E51" s="243"/>
      <c r="F51" s="243"/>
      <c r="G51" s="243"/>
      <c r="H51" s="243"/>
      <c r="I51" s="243"/>
      <c r="J51" s="243"/>
      <c r="K51" s="243"/>
      <c r="L51" s="243"/>
      <c r="M51" s="243"/>
      <c r="N51" s="256"/>
      <c r="P51" s="254">
        <v>40</v>
      </c>
      <c r="Q51" s="242"/>
      <c r="R51" s="243"/>
      <c r="S51" s="243"/>
      <c r="T51" s="243"/>
      <c r="U51" s="243"/>
      <c r="V51" s="243"/>
      <c r="W51" s="243"/>
      <c r="X51" s="243"/>
      <c r="Y51" s="243"/>
      <c r="Z51" s="243"/>
      <c r="AA51" s="243"/>
      <c r="AB51" s="243"/>
      <c r="AC51" s="256"/>
      <c r="AE51" s="254">
        <v>40</v>
      </c>
      <c r="AF51" s="242"/>
      <c r="AG51" s="243"/>
      <c r="AH51" s="243"/>
      <c r="AI51" s="243"/>
      <c r="AJ51" s="243"/>
      <c r="AK51" s="243"/>
      <c r="AL51" s="243"/>
      <c r="AM51" s="243"/>
      <c r="AN51" s="243"/>
      <c r="AO51" s="243"/>
      <c r="AP51" s="243"/>
      <c r="AQ51" s="243"/>
      <c r="AR51" s="256"/>
      <c r="AT51" s="254">
        <v>40</v>
      </c>
      <c r="AU51" s="242"/>
      <c r="AV51" s="243"/>
      <c r="AW51" s="243"/>
      <c r="AX51" s="243"/>
      <c r="AY51" s="243"/>
      <c r="AZ51" s="243"/>
      <c r="BA51" s="243"/>
      <c r="BB51" s="243"/>
      <c r="BC51" s="243"/>
      <c r="BD51" s="243"/>
      <c r="BE51" s="243"/>
      <c r="BF51" s="243"/>
      <c r="BG51" s="256"/>
    </row>
    <row r="52" spans="1:59">
      <c r="A52" s="254">
        <v>41</v>
      </c>
      <c r="B52" s="242"/>
      <c r="C52" s="243"/>
      <c r="D52" s="243"/>
      <c r="E52" s="243"/>
      <c r="F52" s="243"/>
      <c r="G52" s="243"/>
      <c r="H52" s="243"/>
      <c r="I52" s="243"/>
      <c r="J52" s="243"/>
      <c r="K52" s="243"/>
      <c r="L52" s="243"/>
      <c r="M52" s="243"/>
      <c r="N52" s="256"/>
      <c r="P52" s="254">
        <v>41</v>
      </c>
      <c r="Q52" s="242"/>
      <c r="R52" s="243"/>
      <c r="S52" s="243"/>
      <c r="T52" s="243"/>
      <c r="U52" s="243"/>
      <c r="V52" s="243"/>
      <c r="W52" s="243"/>
      <c r="X52" s="243"/>
      <c r="Y52" s="243"/>
      <c r="Z52" s="243"/>
      <c r="AA52" s="243"/>
      <c r="AB52" s="243"/>
      <c r="AC52" s="256"/>
      <c r="AE52" s="254">
        <v>41</v>
      </c>
      <c r="AF52" s="242"/>
      <c r="AG52" s="243"/>
      <c r="AH52" s="243"/>
      <c r="AI52" s="243"/>
      <c r="AJ52" s="243"/>
      <c r="AK52" s="243"/>
      <c r="AL52" s="243"/>
      <c r="AM52" s="243"/>
      <c r="AN52" s="243"/>
      <c r="AO52" s="243"/>
      <c r="AP52" s="243"/>
      <c r="AQ52" s="243"/>
      <c r="AR52" s="256"/>
      <c r="AT52" s="254">
        <v>41</v>
      </c>
      <c r="AU52" s="242"/>
      <c r="AV52" s="243"/>
      <c r="AW52" s="243"/>
      <c r="AX52" s="243"/>
      <c r="AY52" s="243"/>
      <c r="AZ52" s="243"/>
      <c r="BA52" s="243"/>
      <c r="BB52" s="243"/>
      <c r="BC52" s="243"/>
      <c r="BD52" s="243"/>
      <c r="BE52" s="243"/>
      <c r="BF52" s="243"/>
      <c r="BG52" s="256"/>
    </row>
    <row r="53" spans="1:59">
      <c r="A53" s="254">
        <v>42</v>
      </c>
      <c r="B53" s="242"/>
      <c r="C53" s="243"/>
      <c r="D53" s="243"/>
      <c r="E53" s="243"/>
      <c r="F53" s="243"/>
      <c r="G53" s="243"/>
      <c r="H53" s="243"/>
      <c r="I53" s="243"/>
      <c r="J53" s="243"/>
      <c r="K53" s="243"/>
      <c r="L53" s="243"/>
      <c r="M53" s="243"/>
      <c r="N53" s="256"/>
      <c r="P53" s="254">
        <v>42</v>
      </c>
      <c r="Q53" s="242"/>
      <c r="R53" s="243"/>
      <c r="S53" s="243"/>
      <c r="T53" s="243"/>
      <c r="U53" s="243"/>
      <c r="V53" s="243"/>
      <c r="W53" s="243"/>
      <c r="X53" s="243"/>
      <c r="Y53" s="243"/>
      <c r="Z53" s="243"/>
      <c r="AA53" s="243"/>
      <c r="AB53" s="243"/>
      <c r="AC53" s="256"/>
      <c r="AE53" s="254">
        <v>42</v>
      </c>
      <c r="AF53" s="242"/>
      <c r="AG53" s="243"/>
      <c r="AH53" s="243"/>
      <c r="AI53" s="243"/>
      <c r="AJ53" s="243"/>
      <c r="AK53" s="243"/>
      <c r="AL53" s="243"/>
      <c r="AM53" s="243"/>
      <c r="AN53" s="243"/>
      <c r="AO53" s="243"/>
      <c r="AP53" s="243"/>
      <c r="AQ53" s="243"/>
      <c r="AR53" s="256"/>
      <c r="AT53" s="254">
        <v>42</v>
      </c>
      <c r="AU53" s="242"/>
      <c r="AV53" s="243"/>
      <c r="AW53" s="243"/>
      <c r="AX53" s="243"/>
      <c r="AY53" s="243"/>
      <c r="AZ53" s="243"/>
      <c r="BA53" s="243"/>
      <c r="BB53" s="243"/>
      <c r="BC53" s="243"/>
      <c r="BD53" s="243"/>
      <c r="BE53" s="243"/>
      <c r="BF53" s="243"/>
      <c r="BG53" s="256"/>
    </row>
    <row r="54" spans="1:59">
      <c r="A54" s="254">
        <v>43</v>
      </c>
      <c r="B54" s="242"/>
      <c r="C54" s="243"/>
      <c r="D54" s="243"/>
      <c r="E54" s="243"/>
      <c r="F54" s="243"/>
      <c r="G54" s="243"/>
      <c r="H54" s="243"/>
      <c r="I54" s="243"/>
      <c r="J54" s="243"/>
      <c r="K54" s="243"/>
      <c r="L54" s="243"/>
      <c r="M54" s="243"/>
      <c r="N54" s="256"/>
      <c r="P54" s="254">
        <v>43</v>
      </c>
      <c r="Q54" s="242"/>
      <c r="R54" s="243"/>
      <c r="S54" s="243"/>
      <c r="T54" s="243"/>
      <c r="U54" s="243"/>
      <c r="V54" s="243"/>
      <c r="W54" s="243"/>
      <c r="X54" s="243"/>
      <c r="Y54" s="243"/>
      <c r="Z54" s="243"/>
      <c r="AA54" s="243"/>
      <c r="AB54" s="243"/>
      <c r="AC54" s="256"/>
      <c r="AE54" s="254">
        <v>43</v>
      </c>
      <c r="AF54" s="242"/>
      <c r="AG54" s="243"/>
      <c r="AH54" s="243"/>
      <c r="AI54" s="243"/>
      <c r="AJ54" s="243"/>
      <c r="AK54" s="243"/>
      <c r="AL54" s="243"/>
      <c r="AM54" s="243"/>
      <c r="AN54" s="243"/>
      <c r="AO54" s="243"/>
      <c r="AP54" s="243"/>
      <c r="AQ54" s="243"/>
      <c r="AR54" s="256"/>
      <c r="AT54" s="254">
        <v>43</v>
      </c>
      <c r="AU54" s="242"/>
      <c r="AV54" s="243"/>
      <c r="AW54" s="243"/>
      <c r="AX54" s="243"/>
      <c r="AY54" s="243"/>
      <c r="AZ54" s="243"/>
      <c r="BA54" s="243"/>
      <c r="BB54" s="243"/>
      <c r="BC54" s="243"/>
      <c r="BD54" s="243"/>
      <c r="BE54" s="243"/>
      <c r="BF54" s="243"/>
      <c r="BG54" s="256"/>
    </row>
    <row r="55" spans="1:59">
      <c r="A55" s="254">
        <v>44</v>
      </c>
      <c r="B55" s="242"/>
      <c r="C55" s="243"/>
      <c r="D55" s="243"/>
      <c r="E55" s="243"/>
      <c r="F55" s="243"/>
      <c r="G55" s="243"/>
      <c r="H55" s="243"/>
      <c r="I55" s="243"/>
      <c r="J55" s="243"/>
      <c r="K55" s="243"/>
      <c r="L55" s="243"/>
      <c r="M55" s="243"/>
      <c r="N55" s="256"/>
      <c r="P55" s="254">
        <v>44</v>
      </c>
      <c r="Q55" s="242"/>
      <c r="R55" s="243"/>
      <c r="S55" s="243"/>
      <c r="T55" s="243"/>
      <c r="U55" s="243"/>
      <c r="V55" s="243"/>
      <c r="W55" s="243"/>
      <c r="X55" s="243"/>
      <c r="Y55" s="243"/>
      <c r="Z55" s="243"/>
      <c r="AA55" s="243"/>
      <c r="AB55" s="243"/>
      <c r="AC55" s="256"/>
      <c r="AE55" s="254">
        <v>44</v>
      </c>
      <c r="AF55" s="242"/>
      <c r="AG55" s="243"/>
      <c r="AH55" s="243"/>
      <c r="AI55" s="243"/>
      <c r="AJ55" s="243"/>
      <c r="AK55" s="243"/>
      <c r="AL55" s="243"/>
      <c r="AM55" s="243"/>
      <c r="AN55" s="243"/>
      <c r="AO55" s="243"/>
      <c r="AP55" s="243"/>
      <c r="AQ55" s="243"/>
      <c r="AR55" s="256"/>
      <c r="AT55" s="254">
        <v>44</v>
      </c>
      <c r="AU55" s="242"/>
      <c r="AV55" s="243"/>
      <c r="AW55" s="243"/>
      <c r="AX55" s="243"/>
      <c r="AY55" s="243"/>
      <c r="AZ55" s="243"/>
      <c r="BA55" s="243"/>
      <c r="BB55" s="243"/>
      <c r="BC55" s="243"/>
      <c r="BD55" s="243"/>
      <c r="BE55" s="243"/>
      <c r="BF55" s="243"/>
      <c r="BG55" s="256"/>
    </row>
    <row r="56" spans="1:59">
      <c r="A56" s="254">
        <v>45</v>
      </c>
      <c r="B56" s="242"/>
      <c r="C56" s="243"/>
      <c r="D56" s="243"/>
      <c r="E56" s="243"/>
      <c r="F56" s="243"/>
      <c r="G56" s="243"/>
      <c r="H56" s="243"/>
      <c r="I56" s="243"/>
      <c r="J56" s="243"/>
      <c r="K56" s="243"/>
      <c r="L56" s="243"/>
      <c r="M56" s="243"/>
      <c r="N56" s="256"/>
      <c r="P56" s="254">
        <v>45</v>
      </c>
      <c r="Q56" s="242"/>
      <c r="R56" s="243"/>
      <c r="S56" s="243"/>
      <c r="T56" s="243"/>
      <c r="U56" s="243"/>
      <c r="V56" s="243"/>
      <c r="W56" s="243"/>
      <c r="X56" s="243"/>
      <c r="Y56" s="243"/>
      <c r="Z56" s="243"/>
      <c r="AA56" s="243"/>
      <c r="AB56" s="243"/>
      <c r="AC56" s="256"/>
      <c r="AE56" s="254">
        <v>45</v>
      </c>
      <c r="AF56" s="242"/>
      <c r="AG56" s="243"/>
      <c r="AH56" s="243"/>
      <c r="AI56" s="243"/>
      <c r="AJ56" s="243"/>
      <c r="AK56" s="243"/>
      <c r="AL56" s="243"/>
      <c r="AM56" s="243"/>
      <c r="AN56" s="243"/>
      <c r="AO56" s="243"/>
      <c r="AP56" s="243"/>
      <c r="AQ56" s="243"/>
      <c r="AR56" s="256"/>
      <c r="AT56" s="254">
        <v>45</v>
      </c>
      <c r="AU56" s="242"/>
      <c r="AV56" s="243"/>
      <c r="AW56" s="243"/>
      <c r="AX56" s="243"/>
      <c r="AY56" s="243"/>
      <c r="AZ56" s="243"/>
      <c r="BA56" s="243"/>
      <c r="BB56" s="243"/>
      <c r="BC56" s="243"/>
      <c r="BD56" s="243"/>
      <c r="BE56" s="243"/>
      <c r="BF56" s="243"/>
      <c r="BG56" s="256"/>
    </row>
    <row r="57" spans="1:59">
      <c r="A57" s="254">
        <v>46</v>
      </c>
      <c r="B57" s="242"/>
      <c r="C57" s="243"/>
      <c r="D57" s="243"/>
      <c r="E57" s="243"/>
      <c r="F57" s="243"/>
      <c r="G57" s="243"/>
      <c r="H57" s="243"/>
      <c r="I57" s="243"/>
      <c r="J57" s="243"/>
      <c r="K57" s="243"/>
      <c r="L57" s="243"/>
      <c r="M57" s="243"/>
      <c r="N57" s="256"/>
      <c r="P57" s="254">
        <v>46</v>
      </c>
      <c r="Q57" s="242"/>
      <c r="R57" s="243"/>
      <c r="S57" s="243"/>
      <c r="T57" s="243"/>
      <c r="U57" s="243"/>
      <c r="V57" s="243"/>
      <c r="W57" s="243"/>
      <c r="X57" s="243"/>
      <c r="Y57" s="243"/>
      <c r="Z57" s="243"/>
      <c r="AA57" s="243"/>
      <c r="AB57" s="243"/>
      <c r="AC57" s="256"/>
      <c r="AE57" s="254">
        <v>46</v>
      </c>
      <c r="AF57" s="242"/>
      <c r="AG57" s="243"/>
      <c r="AH57" s="243"/>
      <c r="AI57" s="243"/>
      <c r="AJ57" s="243"/>
      <c r="AK57" s="243"/>
      <c r="AL57" s="243"/>
      <c r="AM57" s="243"/>
      <c r="AN57" s="243"/>
      <c r="AO57" s="243"/>
      <c r="AP57" s="243"/>
      <c r="AQ57" s="243"/>
      <c r="AR57" s="256"/>
      <c r="AT57" s="254">
        <v>46</v>
      </c>
      <c r="AU57" s="242"/>
      <c r="AV57" s="243"/>
      <c r="AW57" s="243"/>
      <c r="AX57" s="243"/>
      <c r="AY57" s="243"/>
      <c r="AZ57" s="243"/>
      <c r="BA57" s="243"/>
      <c r="BB57" s="243"/>
      <c r="BC57" s="243"/>
      <c r="BD57" s="243"/>
      <c r="BE57" s="243"/>
      <c r="BF57" s="243"/>
      <c r="BG57" s="256"/>
    </row>
    <row r="58" spans="1:59">
      <c r="A58" s="254">
        <v>47</v>
      </c>
      <c r="B58" s="242"/>
      <c r="C58" s="243"/>
      <c r="D58" s="243"/>
      <c r="E58" s="243"/>
      <c r="F58" s="243"/>
      <c r="G58" s="243"/>
      <c r="H58" s="243"/>
      <c r="I58" s="243"/>
      <c r="J58" s="243"/>
      <c r="K58" s="243"/>
      <c r="L58" s="243"/>
      <c r="M58" s="243"/>
      <c r="N58" s="256"/>
      <c r="P58" s="254">
        <v>47</v>
      </c>
      <c r="Q58" s="242"/>
      <c r="R58" s="243"/>
      <c r="S58" s="243"/>
      <c r="T58" s="243"/>
      <c r="U58" s="243"/>
      <c r="V58" s="243"/>
      <c r="W58" s="243"/>
      <c r="X58" s="243"/>
      <c r="Y58" s="243"/>
      <c r="Z58" s="243"/>
      <c r="AA58" s="243"/>
      <c r="AB58" s="243"/>
      <c r="AC58" s="256"/>
      <c r="AE58" s="254">
        <v>47</v>
      </c>
      <c r="AF58" s="242"/>
      <c r="AG58" s="243"/>
      <c r="AH58" s="243"/>
      <c r="AI58" s="243"/>
      <c r="AJ58" s="243"/>
      <c r="AK58" s="243"/>
      <c r="AL58" s="243"/>
      <c r="AM58" s="243"/>
      <c r="AN58" s="243"/>
      <c r="AO58" s="243"/>
      <c r="AP58" s="243"/>
      <c r="AQ58" s="243"/>
      <c r="AR58" s="256"/>
      <c r="AT58" s="254">
        <v>47</v>
      </c>
      <c r="AU58" s="242"/>
      <c r="AV58" s="243"/>
      <c r="AW58" s="243"/>
      <c r="AX58" s="243"/>
      <c r="AY58" s="243"/>
      <c r="AZ58" s="243"/>
      <c r="BA58" s="243"/>
      <c r="BB58" s="243"/>
      <c r="BC58" s="243"/>
      <c r="BD58" s="243"/>
      <c r="BE58" s="243"/>
      <c r="BF58" s="243"/>
      <c r="BG58" s="256"/>
    </row>
    <row r="59" spans="1:59">
      <c r="A59" s="254">
        <v>48</v>
      </c>
      <c r="B59" s="242"/>
      <c r="C59" s="243"/>
      <c r="D59" s="243"/>
      <c r="E59" s="243"/>
      <c r="F59" s="243"/>
      <c r="G59" s="243"/>
      <c r="H59" s="243"/>
      <c r="I59" s="243"/>
      <c r="J59" s="243"/>
      <c r="K59" s="243"/>
      <c r="L59" s="243"/>
      <c r="M59" s="243"/>
      <c r="N59" s="256"/>
      <c r="P59" s="254">
        <v>48</v>
      </c>
      <c r="Q59" s="242"/>
      <c r="R59" s="243"/>
      <c r="S59" s="243"/>
      <c r="T59" s="243"/>
      <c r="U59" s="243"/>
      <c r="V59" s="243"/>
      <c r="W59" s="243"/>
      <c r="X59" s="243"/>
      <c r="Y59" s="243"/>
      <c r="Z59" s="243"/>
      <c r="AA59" s="243"/>
      <c r="AB59" s="243"/>
      <c r="AC59" s="256"/>
      <c r="AE59" s="254">
        <v>48</v>
      </c>
      <c r="AF59" s="242"/>
      <c r="AG59" s="243"/>
      <c r="AH59" s="243"/>
      <c r="AI59" s="243"/>
      <c r="AJ59" s="243"/>
      <c r="AK59" s="243"/>
      <c r="AL59" s="243"/>
      <c r="AM59" s="243"/>
      <c r="AN59" s="243"/>
      <c r="AO59" s="243"/>
      <c r="AP59" s="243"/>
      <c r="AQ59" s="243"/>
      <c r="AR59" s="256"/>
      <c r="AT59" s="254">
        <v>48</v>
      </c>
      <c r="AU59" s="242"/>
      <c r="AV59" s="243"/>
      <c r="AW59" s="243"/>
      <c r="AX59" s="243"/>
      <c r="AY59" s="243"/>
      <c r="AZ59" s="243"/>
      <c r="BA59" s="243"/>
      <c r="BB59" s="243"/>
      <c r="BC59" s="243"/>
      <c r="BD59" s="243"/>
      <c r="BE59" s="243"/>
      <c r="BF59" s="243"/>
      <c r="BG59" s="256"/>
    </row>
    <row r="60" spans="1:59">
      <c r="A60" s="254">
        <v>49</v>
      </c>
      <c r="B60" s="242"/>
      <c r="C60" s="243"/>
      <c r="D60" s="243"/>
      <c r="E60" s="243"/>
      <c r="F60" s="243"/>
      <c r="G60" s="243"/>
      <c r="H60" s="243"/>
      <c r="I60" s="243"/>
      <c r="J60" s="243"/>
      <c r="K60" s="243"/>
      <c r="L60" s="243"/>
      <c r="M60" s="243"/>
      <c r="N60" s="256"/>
      <c r="P60" s="254">
        <v>49</v>
      </c>
      <c r="Q60" s="242"/>
      <c r="R60" s="243"/>
      <c r="S60" s="243"/>
      <c r="T60" s="243"/>
      <c r="U60" s="243"/>
      <c r="V60" s="243"/>
      <c r="W60" s="243"/>
      <c r="X60" s="243"/>
      <c r="Y60" s="243"/>
      <c r="Z60" s="243"/>
      <c r="AA60" s="243"/>
      <c r="AB60" s="243"/>
      <c r="AC60" s="256"/>
      <c r="AE60" s="254">
        <v>49</v>
      </c>
      <c r="AF60" s="242"/>
      <c r="AG60" s="243"/>
      <c r="AH60" s="243"/>
      <c r="AI60" s="243"/>
      <c r="AJ60" s="243"/>
      <c r="AK60" s="243"/>
      <c r="AL60" s="243"/>
      <c r="AM60" s="243"/>
      <c r="AN60" s="243"/>
      <c r="AO60" s="243"/>
      <c r="AP60" s="243"/>
      <c r="AQ60" s="243"/>
      <c r="AR60" s="256"/>
      <c r="AT60" s="254">
        <v>49</v>
      </c>
      <c r="AU60" s="242"/>
      <c r="AV60" s="243"/>
      <c r="AW60" s="243"/>
      <c r="AX60" s="243"/>
      <c r="AY60" s="243"/>
      <c r="AZ60" s="243"/>
      <c r="BA60" s="243"/>
      <c r="BB60" s="243"/>
      <c r="BC60" s="243"/>
      <c r="BD60" s="243"/>
      <c r="BE60" s="243"/>
      <c r="BF60" s="243"/>
      <c r="BG60" s="256"/>
    </row>
    <row r="61" spans="1:59">
      <c r="A61" s="254">
        <v>50</v>
      </c>
      <c r="B61" s="242"/>
      <c r="C61" s="243"/>
      <c r="D61" s="243"/>
      <c r="E61" s="243"/>
      <c r="F61" s="243"/>
      <c r="G61" s="243"/>
      <c r="H61" s="243"/>
      <c r="I61" s="243"/>
      <c r="J61" s="243"/>
      <c r="K61" s="243"/>
      <c r="L61" s="243"/>
      <c r="M61" s="243"/>
      <c r="N61" s="256"/>
      <c r="P61" s="254">
        <v>50</v>
      </c>
      <c r="Q61" s="242"/>
      <c r="R61" s="243"/>
      <c r="S61" s="243"/>
      <c r="T61" s="243"/>
      <c r="U61" s="243"/>
      <c r="V61" s="243"/>
      <c r="W61" s="243"/>
      <c r="X61" s="243"/>
      <c r="Y61" s="243"/>
      <c r="Z61" s="243"/>
      <c r="AA61" s="243"/>
      <c r="AB61" s="243"/>
      <c r="AC61" s="256"/>
      <c r="AE61" s="254">
        <v>50</v>
      </c>
      <c r="AF61" s="242"/>
      <c r="AG61" s="243"/>
      <c r="AH61" s="243"/>
      <c r="AI61" s="243"/>
      <c r="AJ61" s="243"/>
      <c r="AK61" s="243"/>
      <c r="AL61" s="243"/>
      <c r="AM61" s="243"/>
      <c r="AN61" s="243"/>
      <c r="AO61" s="243"/>
      <c r="AP61" s="243"/>
      <c r="AQ61" s="243"/>
      <c r="AR61" s="256"/>
      <c r="AT61" s="254">
        <v>50</v>
      </c>
      <c r="AU61" s="242"/>
      <c r="AV61" s="243"/>
      <c r="AW61" s="243"/>
      <c r="AX61" s="243"/>
      <c r="AY61" s="243"/>
      <c r="AZ61" s="243"/>
      <c r="BA61" s="243"/>
      <c r="BB61" s="243"/>
      <c r="BC61" s="243"/>
      <c r="BD61" s="243"/>
      <c r="BE61" s="243"/>
      <c r="BF61" s="243"/>
      <c r="BG61" s="256"/>
    </row>
    <row r="62" spans="1:59">
      <c r="A62" s="254">
        <v>51</v>
      </c>
      <c r="B62" s="242"/>
      <c r="C62" s="243"/>
      <c r="D62" s="243"/>
      <c r="E62" s="243"/>
      <c r="F62" s="243"/>
      <c r="G62" s="243"/>
      <c r="H62" s="243"/>
      <c r="I62" s="243"/>
      <c r="J62" s="243"/>
      <c r="K62" s="243"/>
      <c r="L62" s="243"/>
      <c r="M62" s="243"/>
      <c r="N62" s="256"/>
      <c r="P62" s="254">
        <v>51</v>
      </c>
      <c r="Q62" s="242"/>
      <c r="R62" s="243"/>
      <c r="S62" s="243"/>
      <c r="T62" s="243"/>
      <c r="U62" s="243"/>
      <c r="V62" s="243"/>
      <c r="W62" s="243"/>
      <c r="X62" s="243"/>
      <c r="Y62" s="243"/>
      <c r="Z62" s="243"/>
      <c r="AA62" s="243"/>
      <c r="AB62" s="243"/>
      <c r="AC62" s="256"/>
      <c r="AE62" s="254">
        <v>51</v>
      </c>
      <c r="AF62" s="242"/>
      <c r="AG62" s="243"/>
      <c r="AH62" s="243"/>
      <c r="AI62" s="243"/>
      <c r="AJ62" s="243"/>
      <c r="AK62" s="243"/>
      <c r="AL62" s="243"/>
      <c r="AM62" s="243"/>
      <c r="AN62" s="243"/>
      <c r="AO62" s="243"/>
      <c r="AP62" s="243"/>
      <c r="AQ62" s="243"/>
      <c r="AR62" s="256"/>
      <c r="AT62" s="254">
        <v>51</v>
      </c>
      <c r="AU62" s="242"/>
      <c r="AV62" s="243"/>
      <c r="AW62" s="243"/>
      <c r="AX62" s="243"/>
      <c r="AY62" s="243"/>
      <c r="AZ62" s="243"/>
      <c r="BA62" s="243"/>
      <c r="BB62" s="243"/>
      <c r="BC62" s="243"/>
      <c r="BD62" s="243"/>
      <c r="BE62" s="243"/>
      <c r="BF62" s="243"/>
      <c r="BG62" s="256"/>
    </row>
    <row r="63" spans="1:59">
      <c r="A63" s="254">
        <v>52</v>
      </c>
      <c r="B63" s="242"/>
      <c r="C63" s="243"/>
      <c r="D63" s="243"/>
      <c r="E63" s="243"/>
      <c r="F63" s="243"/>
      <c r="G63" s="243"/>
      <c r="H63" s="243"/>
      <c r="I63" s="243"/>
      <c r="J63" s="243"/>
      <c r="K63" s="243"/>
      <c r="L63" s="243"/>
      <c r="M63" s="243"/>
      <c r="N63" s="256"/>
      <c r="P63" s="254">
        <v>52</v>
      </c>
      <c r="Q63" s="242"/>
      <c r="R63" s="243"/>
      <c r="S63" s="243"/>
      <c r="T63" s="243"/>
      <c r="U63" s="243"/>
      <c r="V63" s="243"/>
      <c r="W63" s="243"/>
      <c r="X63" s="243"/>
      <c r="Y63" s="243"/>
      <c r="Z63" s="243"/>
      <c r="AA63" s="243"/>
      <c r="AB63" s="243"/>
      <c r="AC63" s="256"/>
      <c r="AE63" s="254">
        <v>52</v>
      </c>
      <c r="AF63" s="242"/>
      <c r="AG63" s="243"/>
      <c r="AH63" s="243"/>
      <c r="AI63" s="243"/>
      <c r="AJ63" s="243"/>
      <c r="AK63" s="243"/>
      <c r="AL63" s="243"/>
      <c r="AM63" s="243"/>
      <c r="AN63" s="243"/>
      <c r="AO63" s="243"/>
      <c r="AP63" s="243"/>
      <c r="AQ63" s="243"/>
      <c r="AR63" s="256"/>
      <c r="AT63" s="254">
        <v>52</v>
      </c>
      <c r="AU63" s="242"/>
      <c r="AV63" s="243"/>
      <c r="AW63" s="243"/>
      <c r="AX63" s="243"/>
      <c r="AY63" s="243"/>
      <c r="AZ63" s="243"/>
      <c r="BA63" s="243"/>
      <c r="BB63" s="243"/>
      <c r="BC63" s="243"/>
      <c r="BD63" s="243"/>
      <c r="BE63" s="243"/>
      <c r="BF63" s="243"/>
      <c r="BG63" s="256"/>
    </row>
    <row r="64" spans="1:59">
      <c r="A64" s="254">
        <v>53</v>
      </c>
      <c r="B64" s="242"/>
      <c r="C64" s="243"/>
      <c r="D64" s="243"/>
      <c r="E64" s="243"/>
      <c r="F64" s="243"/>
      <c r="G64" s="243"/>
      <c r="H64" s="243"/>
      <c r="I64" s="243"/>
      <c r="J64" s="243"/>
      <c r="K64" s="243"/>
      <c r="L64" s="243"/>
      <c r="M64" s="243"/>
      <c r="N64" s="256"/>
      <c r="P64" s="254">
        <v>53</v>
      </c>
      <c r="Q64" s="242"/>
      <c r="R64" s="243"/>
      <c r="S64" s="243"/>
      <c r="T64" s="243"/>
      <c r="U64" s="243"/>
      <c r="V64" s="243"/>
      <c r="W64" s="243"/>
      <c r="X64" s="243"/>
      <c r="Y64" s="243"/>
      <c r="Z64" s="243"/>
      <c r="AA64" s="243"/>
      <c r="AB64" s="243"/>
      <c r="AC64" s="256"/>
      <c r="AE64" s="254">
        <v>53</v>
      </c>
      <c r="AF64" s="242"/>
      <c r="AG64" s="243"/>
      <c r="AH64" s="243"/>
      <c r="AI64" s="243"/>
      <c r="AJ64" s="243"/>
      <c r="AK64" s="243"/>
      <c r="AL64" s="243"/>
      <c r="AM64" s="243"/>
      <c r="AN64" s="243"/>
      <c r="AO64" s="243"/>
      <c r="AP64" s="243"/>
      <c r="AQ64" s="243"/>
      <c r="AR64" s="256"/>
      <c r="AT64" s="254">
        <v>53</v>
      </c>
      <c r="AU64" s="242"/>
      <c r="AV64" s="243"/>
      <c r="AW64" s="243"/>
      <c r="AX64" s="243"/>
      <c r="AY64" s="243"/>
      <c r="AZ64" s="243"/>
      <c r="BA64" s="243"/>
      <c r="BB64" s="243"/>
      <c r="BC64" s="243"/>
      <c r="BD64" s="243"/>
      <c r="BE64" s="243"/>
      <c r="BF64" s="243"/>
      <c r="BG64" s="256"/>
    </row>
    <row r="65" spans="1:59">
      <c r="A65" s="254">
        <v>54</v>
      </c>
      <c r="B65" s="242"/>
      <c r="C65" s="243"/>
      <c r="D65" s="243"/>
      <c r="E65" s="243"/>
      <c r="F65" s="243"/>
      <c r="G65" s="243"/>
      <c r="H65" s="243"/>
      <c r="I65" s="243"/>
      <c r="J65" s="243"/>
      <c r="K65" s="243"/>
      <c r="L65" s="243"/>
      <c r="M65" s="243"/>
      <c r="N65" s="256"/>
      <c r="P65" s="254">
        <v>54</v>
      </c>
      <c r="Q65" s="242"/>
      <c r="R65" s="243"/>
      <c r="S65" s="243"/>
      <c r="T65" s="243"/>
      <c r="U65" s="243"/>
      <c r="V65" s="243"/>
      <c r="W65" s="243"/>
      <c r="X65" s="243"/>
      <c r="Y65" s="243"/>
      <c r="Z65" s="243"/>
      <c r="AA65" s="243"/>
      <c r="AB65" s="243"/>
      <c r="AC65" s="256"/>
      <c r="AE65" s="254">
        <v>54</v>
      </c>
      <c r="AF65" s="242"/>
      <c r="AG65" s="243"/>
      <c r="AH65" s="243"/>
      <c r="AI65" s="243"/>
      <c r="AJ65" s="243"/>
      <c r="AK65" s="243"/>
      <c r="AL65" s="243"/>
      <c r="AM65" s="243"/>
      <c r="AN65" s="243"/>
      <c r="AO65" s="243"/>
      <c r="AP65" s="243"/>
      <c r="AQ65" s="243"/>
      <c r="AR65" s="256"/>
      <c r="AT65" s="254">
        <v>54</v>
      </c>
      <c r="AU65" s="242"/>
      <c r="AV65" s="243"/>
      <c r="AW65" s="243"/>
      <c r="AX65" s="243"/>
      <c r="AY65" s="243"/>
      <c r="AZ65" s="243"/>
      <c r="BA65" s="243"/>
      <c r="BB65" s="243"/>
      <c r="BC65" s="243"/>
      <c r="BD65" s="243"/>
      <c r="BE65" s="243"/>
      <c r="BF65" s="243"/>
      <c r="BG65" s="256"/>
    </row>
    <row r="66" spans="1:59">
      <c r="A66" s="254">
        <v>55</v>
      </c>
      <c r="B66" s="242"/>
      <c r="C66" s="243"/>
      <c r="D66" s="243"/>
      <c r="E66" s="243"/>
      <c r="F66" s="243"/>
      <c r="G66" s="243"/>
      <c r="H66" s="243"/>
      <c r="I66" s="243"/>
      <c r="J66" s="243"/>
      <c r="K66" s="243"/>
      <c r="L66" s="243"/>
      <c r="M66" s="243"/>
      <c r="N66" s="256"/>
      <c r="P66" s="254">
        <v>55</v>
      </c>
      <c r="Q66" s="242"/>
      <c r="R66" s="243"/>
      <c r="S66" s="243"/>
      <c r="T66" s="243"/>
      <c r="U66" s="243"/>
      <c r="V66" s="243"/>
      <c r="W66" s="243"/>
      <c r="X66" s="243"/>
      <c r="Y66" s="243"/>
      <c r="Z66" s="243"/>
      <c r="AA66" s="243"/>
      <c r="AB66" s="243"/>
      <c r="AC66" s="256"/>
      <c r="AE66" s="254">
        <v>55</v>
      </c>
      <c r="AF66" s="242"/>
      <c r="AG66" s="243"/>
      <c r="AH66" s="243"/>
      <c r="AI66" s="243"/>
      <c r="AJ66" s="243"/>
      <c r="AK66" s="243"/>
      <c r="AL66" s="243"/>
      <c r="AM66" s="243"/>
      <c r="AN66" s="243"/>
      <c r="AO66" s="243"/>
      <c r="AP66" s="243"/>
      <c r="AQ66" s="243"/>
      <c r="AR66" s="256"/>
      <c r="AT66" s="254">
        <v>55</v>
      </c>
      <c r="AU66" s="242"/>
      <c r="AV66" s="243"/>
      <c r="AW66" s="243"/>
      <c r="AX66" s="243"/>
      <c r="AY66" s="243"/>
      <c r="AZ66" s="243"/>
      <c r="BA66" s="243"/>
      <c r="BB66" s="243"/>
      <c r="BC66" s="243"/>
      <c r="BD66" s="243"/>
      <c r="BE66" s="243"/>
      <c r="BF66" s="243"/>
      <c r="BG66" s="256"/>
    </row>
    <row r="67" spans="1:59">
      <c r="A67" s="254">
        <v>56</v>
      </c>
      <c r="B67" s="242"/>
      <c r="C67" s="243"/>
      <c r="D67" s="243"/>
      <c r="E67" s="243"/>
      <c r="F67" s="243"/>
      <c r="G67" s="243"/>
      <c r="H67" s="243"/>
      <c r="I67" s="243"/>
      <c r="J67" s="243"/>
      <c r="K67" s="243"/>
      <c r="L67" s="243"/>
      <c r="M67" s="243"/>
      <c r="N67" s="256"/>
      <c r="P67" s="254">
        <v>56</v>
      </c>
      <c r="Q67" s="242"/>
      <c r="R67" s="243"/>
      <c r="S67" s="243"/>
      <c r="T67" s="243"/>
      <c r="U67" s="243"/>
      <c r="V67" s="243"/>
      <c r="W67" s="243"/>
      <c r="X67" s="243"/>
      <c r="Y67" s="243"/>
      <c r="Z67" s="243"/>
      <c r="AA67" s="243"/>
      <c r="AB67" s="243"/>
      <c r="AC67" s="256"/>
      <c r="AE67" s="254">
        <v>56</v>
      </c>
      <c r="AF67" s="242"/>
      <c r="AG67" s="243"/>
      <c r="AH67" s="243"/>
      <c r="AI67" s="243"/>
      <c r="AJ67" s="243"/>
      <c r="AK67" s="243"/>
      <c r="AL67" s="243"/>
      <c r="AM67" s="243"/>
      <c r="AN67" s="243"/>
      <c r="AO67" s="243"/>
      <c r="AP67" s="243"/>
      <c r="AQ67" s="243"/>
      <c r="AR67" s="256"/>
      <c r="AT67" s="254">
        <v>56</v>
      </c>
      <c r="AU67" s="242"/>
      <c r="AV67" s="243"/>
      <c r="AW67" s="243"/>
      <c r="AX67" s="243"/>
      <c r="AY67" s="243"/>
      <c r="AZ67" s="243"/>
      <c r="BA67" s="243"/>
      <c r="BB67" s="243"/>
      <c r="BC67" s="243"/>
      <c r="BD67" s="243"/>
      <c r="BE67" s="243"/>
      <c r="BF67" s="243"/>
      <c r="BG67" s="256"/>
    </row>
    <row r="68" spans="1:59">
      <c r="A68" s="254">
        <v>57</v>
      </c>
      <c r="B68" s="242"/>
      <c r="C68" s="243"/>
      <c r="D68" s="243"/>
      <c r="E68" s="243"/>
      <c r="F68" s="243"/>
      <c r="G68" s="243"/>
      <c r="H68" s="243"/>
      <c r="I68" s="243"/>
      <c r="J68" s="243"/>
      <c r="K68" s="243"/>
      <c r="L68" s="243"/>
      <c r="M68" s="243"/>
      <c r="N68" s="256"/>
      <c r="P68" s="254">
        <v>57</v>
      </c>
      <c r="Q68" s="242"/>
      <c r="R68" s="243"/>
      <c r="S68" s="243"/>
      <c r="T68" s="243"/>
      <c r="U68" s="243"/>
      <c r="V68" s="243"/>
      <c r="W68" s="243"/>
      <c r="X68" s="243"/>
      <c r="Y68" s="243"/>
      <c r="Z68" s="243"/>
      <c r="AA68" s="243"/>
      <c r="AB68" s="243"/>
      <c r="AC68" s="256"/>
      <c r="AE68" s="254">
        <v>57</v>
      </c>
      <c r="AF68" s="242"/>
      <c r="AG68" s="243"/>
      <c r="AH68" s="243"/>
      <c r="AI68" s="243"/>
      <c r="AJ68" s="243"/>
      <c r="AK68" s="243"/>
      <c r="AL68" s="243"/>
      <c r="AM68" s="243"/>
      <c r="AN68" s="243"/>
      <c r="AO68" s="243"/>
      <c r="AP68" s="243"/>
      <c r="AQ68" s="243"/>
      <c r="AR68" s="256"/>
      <c r="AT68" s="254">
        <v>57</v>
      </c>
      <c r="AU68" s="242"/>
      <c r="AV68" s="243"/>
      <c r="AW68" s="243"/>
      <c r="AX68" s="243"/>
      <c r="AY68" s="243"/>
      <c r="AZ68" s="243"/>
      <c r="BA68" s="243"/>
      <c r="BB68" s="243"/>
      <c r="BC68" s="243"/>
      <c r="BD68" s="243"/>
      <c r="BE68" s="243"/>
      <c r="BF68" s="243"/>
      <c r="BG68" s="256"/>
    </row>
    <row r="69" spans="1:59">
      <c r="A69" s="254">
        <v>58</v>
      </c>
      <c r="B69" s="242"/>
      <c r="C69" s="243"/>
      <c r="D69" s="243"/>
      <c r="E69" s="243"/>
      <c r="F69" s="243"/>
      <c r="G69" s="243"/>
      <c r="H69" s="243"/>
      <c r="I69" s="243"/>
      <c r="J69" s="243"/>
      <c r="K69" s="243"/>
      <c r="L69" s="243"/>
      <c r="M69" s="243"/>
      <c r="N69" s="256"/>
      <c r="P69" s="254">
        <v>58</v>
      </c>
      <c r="Q69" s="242"/>
      <c r="R69" s="243"/>
      <c r="S69" s="243"/>
      <c r="T69" s="243"/>
      <c r="U69" s="243"/>
      <c r="V69" s="243"/>
      <c r="W69" s="243"/>
      <c r="X69" s="243"/>
      <c r="Y69" s="243"/>
      <c r="Z69" s="243"/>
      <c r="AA69" s="243"/>
      <c r="AB69" s="243"/>
      <c r="AC69" s="256"/>
      <c r="AE69" s="254">
        <v>58</v>
      </c>
      <c r="AF69" s="242"/>
      <c r="AG69" s="243"/>
      <c r="AH69" s="243"/>
      <c r="AI69" s="243"/>
      <c r="AJ69" s="243"/>
      <c r="AK69" s="243"/>
      <c r="AL69" s="243"/>
      <c r="AM69" s="243"/>
      <c r="AN69" s="243"/>
      <c r="AO69" s="243"/>
      <c r="AP69" s="243"/>
      <c r="AQ69" s="243"/>
      <c r="AR69" s="256"/>
      <c r="AT69" s="254">
        <v>58</v>
      </c>
      <c r="AU69" s="242"/>
      <c r="AV69" s="243"/>
      <c r="AW69" s="243"/>
      <c r="AX69" s="243"/>
      <c r="AY69" s="243"/>
      <c r="AZ69" s="243"/>
      <c r="BA69" s="243"/>
      <c r="BB69" s="243"/>
      <c r="BC69" s="243"/>
      <c r="BD69" s="243"/>
      <c r="BE69" s="243"/>
      <c r="BF69" s="243"/>
      <c r="BG69" s="256"/>
    </row>
    <row r="70" spans="1:59">
      <c r="A70" s="254">
        <v>59</v>
      </c>
      <c r="B70" s="242"/>
      <c r="C70" s="243"/>
      <c r="D70" s="243"/>
      <c r="E70" s="243"/>
      <c r="F70" s="243"/>
      <c r="G70" s="243"/>
      <c r="H70" s="243"/>
      <c r="I70" s="243"/>
      <c r="J70" s="243"/>
      <c r="K70" s="243"/>
      <c r="L70" s="243"/>
      <c r="M70" s="243"/>
      <c r="N70" s="256"/>
      <c r="P70" s="254">
        <v>59</v>
      </c>
      <c r="Q70" s="242"/>
      <c r="R70" s="243"/>
      <c r="S70" s="243"/>
      <c r="T70" s="243"/>
      <c r="U70" s="243"/>
      <c r="V70" s="243"/>
      <c r="W70" s="243"/>
      <c r="X70" s="243"/>
      <c r="Y70" s="243"/>
      <c r="Z70" s="243"/>
      <c r="AA70" s="243"/>
      <c r="AB70" s="243"/>
      <c r="AC70" s="256"/>
      <c r="AE70" s="254">
        <v>59</v>
      </c>
      <c r="AF70" s="242"/>
      <c r="AG70" s="243"/>
      <c r="AH70" s="243"/>
      <c r="AI70" s="243"/>
      <c r="AJ70" s="243"/>
      <c r="AK70" s="243"/>
      <c r="AL70" s="243"/>
      <c r="AM70" s="243"/>
      <c r="AN70" s="243"/>
      <c r="AO70" s="243"/>
      <c r="AP70" s="243"/>
      <c r="AQ70" s="243"/>
      <c r="AR70" s="256"/>
      <c r="AT70" s="254">
        <v>59</v>
      </c>
      <c r="AU70" s="242"/>
      <c r="AV70" s="243"/>
      <c r="AW70" s="243"/>
      <c r="AX70" s="243"/>
      <c r="AY70" s="243"/>
      <c r="AZ70" s="243"/>
      <c r="BA70" s="243"/>
      <c r="BB70" s="243"/>
      <c r="BC70" s="243"/>
      <c r="BD70" s="243"/>
      <c r="BE70" s="243"/>
      <c r="BF70" s="243"/>
      <c r="BG70" s="256"/>
    </row>
    <row r="71" spans="1:59">
      <c r="A71" s="254">
        <v>60</v>
      </c>
      <c r="B71" s="242"/>
      <c r="C71" s="243"/>
      <c r="D71" s="243"/>
      <c r="E71" s="243"/>
      <c r="F71" s="243"/>
      <c r="G71" s="243"/>
      <c r="H71" s="243"/>
      <c r="I71" s="243"/>
      <c r="J71" s="243"/>
      <c r="K71" s="243"/>
      <c r="L71" s="243"/>
      <c r="M71" s="243"/>
      <c r="N71" s="256"/>
      <c r="P71" s="254">
        <v>60</v>
      </c>
      <c r="Q71" s="242"/>
      <c r="R71" s="243"/>
      <c r="S71" s="243"/>
      <c r="T71" s="243"/>
      <c r="U71" s="243"/>
      <c r="V71" s="243"/>
      <c r="W71" s="243"/>
      <c r="X71" s="243"/>
      <c r="Y71" s="243"/>
      <c r="Z71" s="243"/>
      <c r="AA71" s="243"/>
      <c r="AB71" s="243"/>
      <c r="AC71" s="256"/>
      <c r="AE71" s="254">
        <v>60</v>
      </c>
      <c r="AF71" s="242"/>
      <c r="AG71" s="243"/>
      <c r="AH71" s="243"/>
      <c r="AI71" s="243"/>
      <c r="AJ71" s="243"/>
      <c r="AK71" s="243"/>
      <c r="AL71" s="243"/>
      <c r="AM71" s="243"/>
      <c r="AN71" s="243"/>
      <c r="AO71" s="243"/>
      <c r="AP71" s="243"/>
      <c r="AQ71" s="243"/>
      <c r="AR71" s="256"/>
      <c r="AT71" s="254">
        <v>60</v>
      </c>
      <c r="AU71" s="242"/>
      <c r="AV71" s="243"/>
      <c r="AW71" s="243"/>
      <c r="AX71" s="243"/>
      <c r="AY71" s="243"/>
      <c r="AZ71" s="243"/>
      <c r="BA71" s="243"/>
      <c r="BB71" s="243"/>
      <c r="BC71" s="243"/>
      <c r="BD71" s="243"/>
      <c r="BE71" s="243"/>
      <c r="BF71" s="243"/>
      <c r="BG71" s="256"/>
    </row>
    <row r="72" spans="1:59">
      <c r="A72" s="254">
        <v>61</v>
      </c>
      <c r="B72" s="242"/>
      <c r="C72" s="243"/>
      <c r="D72" s="243"/>
      <c r="E72" s="243"/>
      <c r="F72" s="243"/>
      <c r="G72" s="243"/>
      <c r="H72" s="243"/>
      <c r="I72" s="243"/>
      <c r="J72" s="243"/>
      <c r="K72" s="243"/>
      <c r="L72" s="243"/>
      <c r="M72" s="243"/>
      <c r="N72" s="256"/>
      <c r="P72" s="254">
        <v>61</v>
      </c>
      <c r="Q72" s="242"/>
      <c r="R72" s="243"/>
      <c r="S72" s="243"/>
      <c r="T72" s="243"/>
      <c r="U72" s="243"/>
      <c r="V72" s="243"/>
      <c r="W72" s="243"/>
      <c r="X72" s="243"/>
      <c r="Y72" s="243"/>
      <c r="Z72" s="243"/>
      <c r="AA72" s="243"/>
      <c r="AB72" s="243"/>
      <c r="AC72" s="256"/>
      <c r="AE72" s="254">
        <v>61</v>
      </c>
      <c r="AF72" s="242"/>
      <c r="AG72" s="243"/>
      <c r="AH72" s="243"/>
      <c r="AI72" s="243"/>
      <c r="AJ72" s="243"/>
      <c r="AK72" s="243"/>
      <c r="AL72" s="243"/>
      <c r="AM72" s="243"/>
      <c r="AN72" s="243"/>
      <c r="AO72" s="243"/>
      <c r="AP72" s="243"/>
      <c r="AQ72" s="243"/>
      <c r="AR72" s="256"/>
      <c r="AT72" s="254">
        <v>61</v>
      </c>
      <c r="AU72" s="242"/>
      <c r="AV72" s="243"/>
      <c r="AW72" s="243"/>
      <c r="AX72" s="243"/>
      <c r="AY72" s="243"/>
      <c r="AZ72" s="243"/>
      <c r="BA72" s="243"/>
      <c r="BB72" s="243"/>
      <c r="BC72" s="243"/>
      <c r="BD72" s="243"/>
      <c r="BE72" s="243"/>
      <c r="BF72" s="243"/>
      <c r="BG72" s="256"/>
    </row>
    <row r="73" spans="1:59">
      <c r="A73" s="254">
        <v>62</v>
      </c>
      <c r="B73" s="242"/>
      <c r="C73" s="243"/>
      <c r="D73" s="243"/>
      <c r="E73" s="243"/>
      <c r="F73" s="243"/>
      <c r="G73" s="243"/>
      <c r="H73" s="243"/>
      <c r="I73" s="243"/>
      <c r="J73" s="243"/>
      <c r="K73" s="243"/>
      <c r="L73" s="243"/>
      <c r="M73" s="243"/>
      <c r="N73" s="256"/>
      <c r="P73" s="254">
        <v>62</v>
      </c>
      <c r="Q73" s="242"/>
      <c r="R73" s="243"/>
      <c r="S73" s="243"/>
      <c r="T73" s="243"/>
      <c r="U73" s="243"/>
      <c r="V73" s="243"/>
      <c r="W73" s="243"/>
      <c r="X73" s="243"/>
      <c r="Y73" s="243"/>
      <c r="Z73" s="243"/>
      <c r="AA73" s="243"/>
      <c r="AB73" s="243"/>
      <c r="AC73" s="256"/>
      <c r="AE73" s="254">
        <v>62</v>
      </c>
      <c r="AF73" s="242"/>
      <c r="AG73" s="243"/>
      <c r="AH73" s="243"/>
      <c r="AI73" s="243"/>
      <c r="AJ73" s="243"/>
      <c r="AK73" s="243"/>
      <c r="AL73" s="243"/>
      <c r="AM73" s="243"/>
      <c r="AN73" s="243"/>
      <c r="AO73" s="243"/>
      <c r="AP73" s="243"/>
      <c r="AQ73" s="243"/>
      <c r="AR73" s="256"/>
      <c r="AT73" s="254">
        <v>62</v>
      </c>
      <c r="AU73" s="242"/>
      <c r="AV73" s="243"/>
      <c r="AW73" s="243"/>
      <c r="AX73" s="243"/>
      <c r="AY73" s="243"/>
      <c r="AZ73" s="243"/>
      <c r="BA73" s="243"/>
      <c r="BB73" s="243"/>
      <c r="BC73" s="243"/>
      <c r="BD73" s="243"/>
      <c r="BE73" s="243"/>
      <c r="BF73" s="243"/>
      <c r="BG73" s="256"/>
    </row>
    <row r="74" spans="1:59">
      <c r="A74" s="254">
        <v>63</v>
      </c>
      <c r="B74" s="242"/>
      <c r="C74" s="243"/>
      <c r="D74" s="243"/>
      <c r="E74" s="243"/>
      <c r="F74" s="243"/>
      <c r="G74" s="243"/>
      <c r="H74" s="243"/>
      <c r="I74" s="243"/>
      <c r="J74" s="243"/>
      <c r="K74" s="243"/>
      <c r="L74" s="243"/>
      <c r="M74" s="243"/>
      <c r="N74" s="256"/>
      <c r="P74" s="254">
        <v>63</v>
      </c>
      <c r="Q74" s="242"/>
      <c r="R74" s="243"/>
      <c r="S74" s="243"/>
      <c r="T74" s="243"/>
      <c r="U74" s="243"/>
      <c r="V74" s="243"/>
      <c r="W74" s="243"/>
      <c r="X74" s="243"/>
      <c r="Y74" s="243"/>
      <c r="Z74" s="243"/>
      <c r="AA74" s="243"/>
      <c r="AB74" s="243"/>
      <c r="AC74" s="256"/>
      <c r="AE74" s="254">
        <v>63</v>
      </c>
      <c r="AF74" s="242"/>
      <c r="AG74" s="243"/>
      <c r="AH74" s="243"/>
      <c r="AI74" s="243"/>
      <c r="AJ74" s="243"/>
      <c r="AK74" s="243"/>
      <c r="AL74" s="243"/>
      <c r="AM74" s="243"/>
      <c r="AN74" s="243"/>
      <c r="AO74" s="243"/>
      <c r="AP74" s="243"/>
      <c r="AQ74" s="243"/>
      <c r="AR74" s="256"/>
      <c r="AT74" s="254">
        <v>63</v>
      </c>
      <c r="AU74" s="242"/>
      <c r="AV74" s="243"/>
      <c r="AW74" s="243"/>
      <c r="AX74" s="243"/>
      <c r="AY74" s="243"/>
      <c r="AZ74" s="243"/>
      <c r="BA74" s="243"/>
      <c r="BB74" s="243"/>
      <c r="BC74" s="243"/>
      <c r="BD74" s="243"/>
      <c r="BE74" s="243"/>
      <c r="BF74" s="243"/>
      <c r="BG74" s="256"/>
    </row>
    <row r="75" spans="1:59">
      <c r="A75" s="254">
        <v>64</v>
      </c>
      <c r="B75" s="242"/>
      <c r="C75" s="243"/>
      <c r="D75" s="243"/>
      <c r="E75" s="243"/>
      <c r="F75" s="243"/>
      <c r="G75" s="243"/>
      <c r="H75" s="243"/>
      <c r="I75" s="243"/>
      <c r="J75" s="243"/>
      <c r="K75" s="243"/>
      <c r="L75" s="243"/>
      <c r="M75" s="243"/>
      <c r="N75" s="256"/>
      <c r="P75" s="254">
        <v>64</v>
      </c>
      <c r="Q75" s="242"/>
      <c r="R75" s="243"/>
      <c r="S75" s="243"/>
      <c r="T75" s="243"/>
      <c r="U75" s="243"/>
      <c r="V75" s="243"/>
      <c r="W75" s="243"/>
      <c r="X75" s="243"/>
      <c r="Y75" s="243"/>
      <c r="Z75" s="243"/>
      <c r="AA75" s="243"/>
      <c r="AB75" s="243"/>
      <c r="AC75" s="256"/>
      <c r="AE75" s="254">
        <v>64</v>
      </c>
      <c r="AF75" s="242"/>
      <c r="AG75" s="243"/>
      <c r="AH75" s="243"/>
      <c r="AI75" s="243"/>
      <c r="AJ75" s="243"/>
      <c r="AK75" s="243"/>
      <c r="AL75" s="243"/>
      <c r="AM75" s="243"/>
      <c r="AN75" s="243"/>
      <c r="AO75" s="243"/>
      <c r="AP75" s="243"/>
      <c r="AQ75" s="243"/>
      <c r="AR75" s="256"/>
      <c r="AT75" s="254">
        <v>64</v>
      </c>
      <c r="AU75" s="242"/>
      <c r="AV75" s="243"/>
      <c r="AW75" s="243"/>
      <c r="AX75" s="243"/>
      <c r="AY75" s="243"/>
      <c r="AZ75" s="243"/>
      <c r="BA75" s="243"/>
      <c r="BB75" s="243"/>
      <c r="BC75" s="243"/>
      <c r="BD75" s="243"/>
      <c r="BE75" s="243"/>
      <c r="BF75" s="243"/>
      <c r="BG75" s="256"/>
    </row>
    <row r="76" spans="1:59">
      <c r="A76" s="254">
        <v>65</v>
      </c>
      <c r="B76" s="242"/>
      <c r="C76" s="243"/>
      <c r="D76" s="243"/>
      <c r="E76" s="243"/>
      <c r="F76" s="243"/>
      <c r="G76" s="243"/>
      <c r="H76" s="243"/>
      <c r="I76" s="243"/>
      <c r="J76" s="243"/>
      <c r="K76" s="243"/>
      <c r="L76" s="243"/>
      <c r="M76" s="243"/>
      <c r="N76" s="256"/>
      <c r="P76" s="254">
        <v>65</v>
      </c>
      <c r="Q76" s="242"/>
      <c r="R76" s="243"/>
      <c r="S76" s="243"/>
      <c r="T76" s="243"/>
      <c r="U76" s="243"/>
      <c r="V76" s="243"/>
      <c r="W76" s="243"/>
      <c r="X76" s="243"/>
      <c r="Y76" s="243"/>
      <c r="Z76" s="243"/>
      <c r="AA76" s="243"/>
      <c r="AB76" s="243"/>
      <c r="AC76" s="256"/>
      <c r="AE76" s="254">
        <v>65</v>
      </c>
      <c r="AF76" s="242"/>
      <c r="AG76" s="243"/>
      <c r="AH76" s="243"/>
      <c r="AI76" s="243"/>
      <c r="AJ76" s="243"/>
      <c r="AK76" s="243"/>
      <c r="AL76" s="243"/>
      <c r="AM76" s="243"/>
      <c r="AN76" s="243"/>
      <c r="AO76" s="243"/>
      <c r="AP76" s="243"/>
      <c r="AQ76" s="243"/>
      <c r="AR76" s="256"/>
      <c r="AT76" s="254">
        <v>65</v>
      </c>
      <c r="AU76" s="242"/>
      <c r="AV76" s="243"/>
      <c r="AW76" s="243"/>
      <c r="AX76" s="243"/>
      <c r="AY76" s="243"/>
      <c r="AZ76" s="243"/>
      <c r="BA76" s="243"/>
      <c r="BB76" s="243"/>
      <c r="BC76" s="243"/>
      <c r="BD76" s="243"/>
      <c r="BE76" s="243"/>
      <c r="BF76" s="243"/>
      <c r="BG76" s="256"/>
    </row>
    <row r="77" spans="1:59">
      <c r="A77" s="254">
        <v>66</v>
      </c>
      <c r="B77" s="242"/>
      <c r="C77" s="243"/>
      <c r="D77" s="243"/>
      <c r="E77" s="243"/>
      <c r="F77" s="243"/>
      <c r="G77" s="243"/>
      <c r="H77" s="243"/>
      <c r="I77" s="243"/>
      <c r="J77" s="243"/>
      <c r="K77" s="243"/>
      <c r="L77" s="243"/>
      <c r="M77" s="243"/>
      <c r="N77" s="256"/>
      <c r="P77" s="254">
        <v>66</v>
      </c>
      <c r="Q77" s="242"/>
      <c r="R77" s="243"/>
      <c r="S77" s="243"/>
      <c r="T77" s="243"/>
      <c r="U77" s="243"/>
      <c r="V77" s="243"/>
      <c r="W77" s="243"/>
      <c r="X77" s="243"/>
      <c r="Y77" s="243"/>
      <c r="Z77" s="243"/>
      <c r="AA77" s="243"/>
      <c r="AB77" s="243"/>
      <c r="AC77" s="256"/>
      <c r="AE77" s="254">
        <v>66</v>
      </c>
      <c r="AF77" s="242"/>
      <c r="AG77" s="243"/>
      <c r="AH77" s="243"/>
      <c r="AI77" s="243"/>
      <c r="AJ77" s="243"/>
      <c r="AK77" s="243"/>
      <c r="AL77" s="243"/>
      <c r="AM77" s="243"/>
      <c r="AN77" s="243"/>
      <c r="AO77" s="243"/>
      <c r="AP77" s="243"/>
      <c r="AQ77" s="243"/>
      <c r="AR77" s="256"/>
      <c r="AT77" s="254">
        <v>66</v>
      </c>
      <c r="AU77" s="242"/>
      <c r="AV77" s="243"/>
      <c r="AW77" s="243"/>
      <c r="AX77" s="243"/>
      <c r="AY77" s="243"/>
      <c r="AZ77" s="243"/>
      <c r="BA77" s="243"/>
      <c r="BB77" s="243"/>
      <c r="BC77" s="243"/>
      <c r="BD77" s="243"/>
      <c r="BE77" s="243"/>
      <c r="BF77" s="243"/>
      <c r="BG77" s="256"/>
    </row>
    <row r="78" spans="1:59">
      <c r="A78" s="254">
        <v>67</v>
      </c>
      <c r="B78" s="242"/>
      <c r="C78" s="243"/>
      <c r="D78" s="243"/>
      <c r="E78" s="243"/>
      <c r="F78" s="243"/>
      <c r="G78" s="243"/>
      <c r="H78" s="243"/>
      <c r="I78" s="243"/>
      <c r="J78" s="243"/>
      <c r="K78" s="243"/>
      <c r="L78" s="243"/>
      <c r="M78" s="243"/>
      <c r="N78" s="256"/>
      <c r="P78" s="254">
        <v>67</v>
      </c>
      <c r="Q78" s="242"/>
      <c r="R78" s="243"/>
      <c r="S78" s="243"/>
      <c r="T78" s="243"/>
      <c r="U78" s="243"/>
      <c r="V78" s="243"/>
      <c r="W78" s="243"/>
      <c r="X78" s="243"/>
      <c r="Y78" s="243"/>
      <c r="Z78" s="243"/>
      <c r="AA78" s="243"/>
      <c r="AB78" s="243"/>
      <c r="AC78" s="256"/>
      <c r="AE78" s="254">
        <v>67</v>
      </c>
      <c r="AF78" s="242"/>
      <c r="AG78" s="243"/>
      <c r="AH78" s="243"/>
      <c r="AI78" s="243"/>
      <c r="AJ78" s="243"/>
      <c r="AK78" s="243"/>
      <c r="AL78" s="243"/>
      <c r="AM78" s="243"/>
      <c r="AN78" s="243"/>
      <c r="AO78" s="243"/>
      <c r="AP78" s="243"/>
      <c r="AQ78" s="243"/>
      <c r="AR78" s="256"/>
      <c r="AT78" s="254">
        <v>67</v>
      </c>
      <c r="AU78" s="242"/>
      <c r="AV78" s="243"/>
      <c r="AW78" s="243"/>
      <c r="AX78" s="243"/>
      <c r="AY78" s="243"/>
      <c r="AZ78" s="243"/>
      <c r="BA78" s="243"/>
      <c r="BB78" s="243"/>
      <c r="BC78" s="243"/>
      <c r="BD78" s="243"/>
      <c r="BE78" s="243"/>
      <c r="BF78" s="243"/>
      <c r="BG78" s="256"/>
    </row>
    <row r="79" spans="1:59">
      <c r="A79" s="254">
        <v>68</v>
      </c>
      <c r="B79" s="242"/>
      <c r="C79" s="243"/>
      <c r="D79" s="243"/>
      <c r="E79" s="243"/>
      <c r="F79" s="243"/>
      <c r="G79" s="243"/>
      <c r="H79" s="243"/>
      <c r="I79" s="243"/>
      <c r="J79" s="243"/>
      <c r="K79" s="243"/>
      <c r="L79" s="243"/>
      <c r="M79" s="243"/>
      <c r="N79" s="256"/>
      <c r="P79" s="254">
        <v>68</v>
      </c>
      <c r="Q79" s="242"/>
      <c r="R79" s="243"/>
      <c r="S79" s="243"/>
      <c r="T79" s="243"/>
      <c r="U79" s="243"/>
      <c r="V79" s="243"/>
      <c r="W79" s="243"/>
      <c r="X79" s="243"/>
      <c r="Y79" s="243"/>
      <c r="Z79" s="243"/>
      <c r="AA79" s="243"/>
      <c r="AB79" s="243"/>
      <c r="AC79" s="256"/>
      <c r="AE79" s="254">
        <v>68</v>
      </c>
      <c r="AF79" s="242"/>
      <c r="AG79" s="243"/>
      <c r="AH79" s="243"/>
      <c r="AI79" s="243"/>
      <c r="AJ79" s="243"/>
      <c r="AK79" s="243"/>
      <c r="AL79" s="243"/>
      <c r="AM79" s="243"/>
      <c r="AN79" s="243"/>
      <c r="AO79" s="243"/>
      <c r="AP79" s="243"/>
      <c r="AQ79" s="243"/>
      <c r="AR79" s="256"/>
      <c r="AT79" s="254">
        <v>68</v>
      </c>
      <c r="AU79" s="242"/>
      <c r="AV79" s="243"/>
      <c r="AW79" s="243"/>
      <c r="AX79" s="243"/>
      <c r="AY79" s="243"/>
      <c r="AZ79" s="243"/>
      <c r="BA79" s="243"/>
      <c r="BB79" s="243"/>
      <c r="BC79" s="243"/>
      <c r="BD79" s="243"/>
      <c r="BE79" s="243"/>
      <c r="BF79" s="243"/>
      <c r="BG79" s="256"/>
    </row>
    <row r="80" spans="1:59">
      <c r="A80" s="254">
        <v>69</v>
      </c>
      <c r="B80" s="242"/>
      <c r="C80" s="243"/>
      <c r="D80" s="243"/>
      <c r="E80" s="243"/>
      <c r="F80" s="243"/>
      <c r="G80" s="243"/>
      <c r="H80" s="243"/>
      <c r="I80" s="243"/>
      <c r="J80" s="243"/>
      <c r="K80" s="243"/>
      <c r="L80" s="243"/>
      <c r="M80" s="243"/>
      <c r="N80" s="256"/>
      <c r="P80" s="254">
        <v>69</v>
      </c>
      <c r="Q80" s="242"/>
      <c r="R80" s="243"/>
      <c r="S80" s="243"/>
      <c r="T80" s="243"/>
      <c r="U80" s="243"/>
      <c r="V80" s="243"/>
      <c r="W80" s="243"/>
      <c r="X80" s="243"/>
      <c r="Y80" s="243"/>
      <c r="Z80" s="243"/>
      <c r="AA80" s="243"/>
      <c r="AB80" s="243"/>
      <c r="AC80" s="256"/>
      <c r="AE80" s="254">
        <v>69</v>
      </c>
      <c r="AF80" s="242"/>
      <c r="AG80" s="243"/>
      <c r="AH80" s="243"/>
      <c r="AI80" s="243"/>
      <c r="AJ80" s="243"/>
      <c r="AK80" s="243"/>
      <c r="AL80" s="243"/>
      <c r="AM80" s="243"/>
      <c r="AN80" s="243"/>
      <c r="AO80" s="243"/>
      <c r="AP80" s="243"/>
      <c r="AQ80" s="243"/>
      <c r="AR80" s="256"/>
      <c r="AT80" s="254">
        <v>69</v>
      </c>
      <c r="AU80" s="242"/>
      <c r="AV80" s="243"/>
      <c r="AW80" s="243"/>
      <c r="AX80" s="243"/>
      <c r="AY80" s="243"/>
      <c r="AZ80" s="243"/>
      <c r="BA80" s="243"/>
      <c r="BB80" s="243"/>
      <c r="BC80" s="243"/>
      <c r="BD80" s="243"/>
      <c r="BE80" s="243"/>
      <c r="BF80" s="243"/>
      <c r="BG80" s="256"/>
    </row>
    <row r="81" spans="1:59">
      <c r="A81" s="254">
        <v>70</v>
      </c>
      <c r="B81" s="242"/>
      <c r="C81" s="243"/>
      <c r="D81" s="243"/>
      <c r="E81" s="243"/>
      <c r="F81" s="243"/>
      <c r="G81" s="243"/>
      <c r="H81" s="243"/>
      <c r="I81" s="243"/>
      <c r="J81" s="243"/>
      <c r="K81" s="243"/>
      <c r="L81" s="243"/>
      <c r="M81" s="243"/>
      <c r="N81" s="256"/>
      <c r="P81" s="254">
        <v>70</v>
      </c>
      <c r="Q81" s="242"/>
      <c r="R81" s="243"/>
      <c r="S81" s="243"/>
      <c r="T81" s="243"/>
      <c r="U81" s="243"/>
      <c r="V81" s="243"/>
      <c r="W81" s="243"/>
      <c r="X81" s="243"/>
      <c r="Y81" s="243"/>
      <c r="Z81" s="243"/>
      <c r="AA81" s="243"/>
      <c r="AB81" s="243"/>
      <c r="AC81" s="256"/>
      <c r="AE81" s="254">
        <v>70</v>
      </c>
      <c r="AF81" s="242"/>
      <c r="AG81" s="243"/>
      <c r="AH81" s="243"/>
      <c r="AI81" s="243"/>
      <c r="AJ81" s="243"/>
      <c r="AK81" s="243"/>
      <c r="AL81" s="243"/>
      <c r="AM81" s="243"/>
      <c r="AN81" s="243"/>
      <c r="AO81" s="243"/>
      <c r="AP81" s="243"/>
      <c r="AQ81" s="243"/>
      <c r="AR81" s="256"/>
      <c r="AT81" s="254">
        <v>70</v>
      </c>
      <c r="AU81" s="242"/>
      <c r="AV81" s="243"/>
      <c r="AW81" s="243"/>
      <c r="AX81" s="243"/>
      <c r="AY81" s="243"/>
      <c r="AZ81" s="243"/>
      <c r="BA81" s="243"/>
      <c r="BB81" s="243"/>
      <c r="BC81" s="243"/>
      <c r="BD81" s="243"/>
      <c r="BE81" s="243"/>
      <c r="BF81" s="243"/>
      <c r="BG81" s="256"/>
    </row>
    <row r="82" spans="1:59">
      <c r="A82" s="254">
        <v>71</v>
      </c>
      <c r="B82" s="242"/>
      <c r="C82" s="243"/>
      <c r="D82" s="243"/>
      <c r="E82" s="243"/>
      <c r="F82" s="243"/>
      <c r="G82" s="243"/>
      <c r="H82" s="243"/>
      <c r="I82" s="243"/>
      <c r="J82" s="243"/>
      <c r="K82" s="243"/>
      <c r="L82" s="243"/>
      <c r="M82" s="243"/>
      <c r="N82" s="256"/>
      <c r="P82" s="254">
        <v>71</v>
      </c>
      <c r="Q82" s="242"/>
      <c r="R82" s="243"/>
      <c r="S82" s="243"/>
      <c r="T82" s="243"/>
      <c r="U82" s="243"/>
      <c r="V82" s="243"/>
      <c r="W82" s="243"/>
      <c r="X82" s="243"/>
      <c r="Y82" s="243"/>
      <c r="Z82" s="243"/>
      <c r="AA82" s="243"/>
      <c r="AB82" s="243"/>
      <c r="AC82" s="256"/>
      <c r="AE82" s="254">
        <v>71</v>
      </c>
      <c r="AF82" s="242"/>
      <c r="AG82" s="243"/>
      <c r="AH82" s="243"/>
      <c r="AI82" s="243"/>
      <c r="AJ82" s="243"/>
      <c r="AK82" s="243"/>
      <c r="AL82" s="243"/>
      <c r="AM82" s="243"/>
      <c r="AN82" s="243"/>
      <c r="AO82" s="243"/>
      <c r="AP82" s="243"/>
      <c r="AQ82" s="243"/>
      <c r="AR82" s="256"/>
      <c r="AT82" s="254">
        <v>71</v>
      </c>
      <c r="AU82" s="242"/>
      <c r="AV82" s="243"/>
      <c r="AW82" s="243"/>
      <c r="AX82" s="243"/>
      <c r="AY82" s="243"/>
      <c r="AZ82" s="243"/>
      <c r="BA82" s="243"/>
      <c r="BB82" s="243"/>
      <c r="BC82" s="243"/>
      <c r="BD82" s="243"/>
      <c r="BE82" s="243"/>
      <c r="BF82" s="243"/>
      <c r="BG82" s="256"/>
    </row>
    <row r="83" spans="1:59">
      <c r="A83" s="254">
        <v>72</v>
      </c>
      <c r="B83" s="242"/>
      <c r="C83" s="243"/>
      <c r="D83" s="243"/>
      <c r="E83" s="243"/>
      <c r="F83" s="243"/>
      <c r="G83" s="243"/>
      <c r="H83" s="243"/>
      <c r="I83" s="243"/>
      <c r="J83" s="243"/>
      <c r="K83" s="243"/>
      <c r="L83" s="243"/>
      <c r="M83" s="243"/>
      <c r="N83" s="256"/>
      <c r="P83" s="254">
        <v>72</v>
      </c>
      <c r="Q83" s="242"/>
      <c r="R83" s="243"/>
      <c r="S83" s="243"/>
      <c r="T83" s="243"/>
      <c r="U83" s="243"/>
      <c r="V83" s="243"/>
      <c r="W83" s="243"/>
      <c r="X83" s="243"/>
      <c r="Y83" s="243"/>
      <c r="Z83" s="243"/>
      <c r="AA83" s="243"/>
      <c r="AB83" s="243"/>
      <c r="AC83" s="256"/>
      <c r="AE83" s="254">
        <v>72</v>
      </c>
      <c r="AF83" s="242"/>
      <c r="AG83" s="243"/>
      <c r="AH83" s="243"/>
      <c r="AI83" s="243"/>
      <c r="AJ83" s="243"/>
      <c r="AK83" s="243"/>
      <c r="AL83" s="243"/>
      <c r="AM83" s="243"/>
      <c r="AN83" s="243"/>
      <c r="AO83" s="243"/>
      <c r="AP83" s="243"/>
      <c r="AQ83" s="243"/>
      <c r="AR83" s="256"/>
      <c r="AT83" s="254">
        <v>72</v>
      </c>
      <c r="AU83" s="242"/>
      <c r="AV83" s="243"/>
      <c r="AW83" s="243"/>
      <c r="AX83" s="243"/>
      <c r="AY83" s="243"/>
      <c r="AZ83" s="243"/>
      <c r="BA83" s="243"/>
      <c r="BB83" s="243"/>
      <c r="BC83" s="243"/>
      <c r="BD83" s="243"/>
      <c r="BE83" s="243"/>
      <c r="BF83" s="243"/>
      <c r="BG83" s="256"/>
    </row>
    <row r="84" spans="1:59">
      <c r="A84" s="254">
        <v>73</v>
      </c>
      <c r="B84" s="242"/>
      <c r="C84" s="243"/>
      <c r="D84" s="243"/>
      <c r="E84" s="243"/>
      <c r="F84" s="243"/>
      <c r="G84" s="243"/>
      <c r="H84" s="243"/>
      <c r="I84" s="243"/>
      <c r="J84" s="243"/>
      <c r="K84" s="243"/>
      <c r="L84" s="243"/>
      <c r="M84" s="243"/>
      <c r="N84" s="256"/>
      <c r="P84" s="254">
        <v>73</v>
      </c>
      <c r="Q84" s="242"/>
      <c r="R84" s="243"/>
      <c r="S84" s="243"/>
      <c r="T84" s="243"/>
      <c r="U84" s="243"/>
      <c r="V84" s="243"/>
      <c r="W84" s="243"/>
      <c r="X84" s="243"/>
      <c r="Y84" s="243"/>
      <c r="Z84" s="243"/>
      <c r="AA84" s="243"/>
      <c r="AB84" s="243"/>
      <c r="AC84" s="256"/>
      <c r="AE84" s="254">
        <v>73</v>
      </c>
      <c r="AF84" s="242"/>
      <c r="AG84" s="243"/>
      <c r="AH84" s="243"/>
      <c r="AI84" s="243"/>
      <c r="AJ84" s="243"/>
      <c r="AK84" s="243"/>
      <c r="AL84" s="243"/>
      <c r="AM84" s="243"/>
      <c r="AN84" s="243"/>
      <c r="AO84" s="243"/>
      <c r="AP84" s="243"/>
      <c r="AQ84" s="243"/>
      <c r="AR84" s="256"/>
      <c r="AT84" s="254">
        <v>73</v>
      </c>
      <c r="AU84" s="242"/>
      <c r="AV84" s="243"/>
      <c r="AW84" s="243"/>
      <c r="AX84" s="243"/>
      <c r="AY84" s="243"/>
      <c r="AZ84" s="243"/>
      <c r="BA84" s="243"/>
      <c r="BB84" s="243"/>
      <c r="BC84" s="243"/>
      <c r="BD84" s="243"/>
      <c r="BE84" s="243"/>
      <c r="BF84" s="243"/>
      <c r="BG84" s="256"/>
    </row>
    <row r="85" spans="1:59">
      <c r="A85" s="254">
        <v>74</v>
      </c>
      <c r="B85" s="242"/>
      <c r="C85" s="243"/>
      <c r="D85" s="243"/>
      <c r="E85" s="243"/>
      <c r="F85" s="243"/>
      <c r="G85" s="243"/>
      <c r="H85" s="243"/>
      <c r="I85" s="243"/>
      <c r="J85" s="243"/>
      <c r="K85" s="243"/>
      <c r="L85" s="243"/>
      <c r="M85" s="243"/>
      <c r="N85" s="256"/>
      <c r="P85" s="254">
        <v>74</v>
      </c>
      <c r="Q85" s="242"/>
      <c r="R85" s="243"/>
      <c r="S85" s="243"/>
      <c r="T85" s="243"/>
      <c r="U85" s="243"/>
      <c r="V85" s="243"/>
      <c r="W85" s="243"/>
      <c r="X85" s="243"/>
      <c r="Y85" s="243"/>
      <c r="Z85" s="243"/>
      <c r="AA85" s="243"/>
      <c r="AB85" s="243"/>
      <c r="AC85" s="256"/>
      <c r="AE85" s="254">
        <v>74</v>
      </c>
      <c r="AF85" s="242"/>
      <c r="AG85" s="243"/>
      <c r="AH85" s="243"/>
      <c r="AI85" s="243"/>
      <c r="AJ85" s="243"/>
      <c r="AK85" s="243"/>
      <c r="AL85" s="243"/>
      <c r="AM85" s="243"/>
      <c r="AN85" s="243"/>
      <c r="AO85" s="243"/>
      <c r="AP85" s="243"/>
      <c r="AQ85" s="243"/>
      <c r="AR85" s="256"/>
      <c r="AT85" s="254">
        <v>74</v>
      </c>
      <c r="AU85" s="242"/>
      <c r="AV85" s="243"/>
      <c r="AW85" s="243"/>
      <c r="AX85" s="243"/>
      <c r="AY85" s="243"/>
      <c r="AZ85" s="243"/>
      <c r="BA85" s="243"/>
      <c r="BB85" s="243"/>
      <c r="BC85" s="243"/>
      <c r="BD85" s="243"/>
      <c r="BE85" s="243"/>
      <c r="BF85" s="243"/>
      <c r="BG85" s="256"/>
    </row>
    <row r="86" spans="1:59">
      <c r="A86" s="254">
        <v>75</v>
      </c>
      <c r="B86" s="242"/>
      <c r="C86" s="243"/>
      <c r="D86" s="243"/>
      <c r="E86" s="243"/>
      <c r="F86" s="243"/>
      <c r="G86" s="243"/>
      <c r="H86" s="243"/>
      <c r="I86" s="243"/>
      <c r="J86" s="243"/>
      <c r="K86" s="243"/>
      <c r="L86" s="243"/>
      <c r="M86" s="243"/>
      <c r="N86" s="256"/>
      <c r="P86" s="254">
        <v>75</v>
      </c>
      <c r="Q86" s="242"/>
      <c r="R86" s="243"/>
      <c r="S86" s="243"/>
      <c r="T86" s="243"/>
      <c r="U86" s="243"/>
      <c r="V86" s="243"/>
      <c r="W86" s="243"/>
      <c r="X86" s="243"/>
      <c r="Y86" s="243"/>
      <c r="Z86" s="243"/>
      <c r="AA86" s="243"/>
      <c r="AB86" s="243"/>
      <c r="AC86" s="256"/>
      <c r="AE86" s="254">
        <v>75</v>
      </c>
      <c r="AF86" s="242"/>
      <c r="AG86" s="243"/>
      <c r="AH86" s="243"/>
      <c r="AI86" s="243"/>
      <c r="AJ86" s="243"/>
      <c r="AK86" s="243"/>
      <c r="AL86" s="243"/>
      <c r="AM86" s="243"/>
      <c r="AN86" s="243"/>
      <c r="AO86" s="243"/>
      <c r="AP86" s="243"/>
      <c r="AQ86" s="243"/>
      <c r="AR86" s="256"/>
      <c r="AT86" s="254">
        <v>75</v>
      </c>
      <c r="AU86" s="242"/>
      <c r="AV86" s="243"/>
      <c r="AW86" s="243"/>
      <c r="AX86" s="243"/>
      <c r="AY86" s="243"/>
      <c r="AZ86" s="243"/>
      <c r="BA86" s="243"/>
      <c r="BB86" s="243"/>
      <c r="BC86" s="243"/>
      <c r="BD86" s="243"/>
      <c r="BE86" s="243"/>
      <c r="BF86" s="243"/>
      <c r="BG86" s="256"/>
    </row>
    <row r="87" spans="1:59">
      <c r="A87" s="254">
        <v>76</v>
      </c>
      <c r="B87" s="242"/>
      <c r="C87" s="243"/>
      <c r="D87" s="243"/>
      <c r="E87" s="243"/>
      <c r="F87" s="243"/>
      <c r="G87" s="243"/>
      <c r="H87" s="243"/>
      <c r="I87" s="243"/>
      <c r="J87" s="243"/>
      <c r="K87" s="243"/>
      <c r="L87" s="243"/>
      <c r="M87" s="243"/>
      <c r="N87" s="256"/>
      <c r="P87" s="254">
        <v>76</v>
      </c>
      <c r="Q87" s="242"/>
      <c r="R87" s="243"/>
      <c r="S87" s="243"/>
      <c r="T87" s="243"/>
      <c r="U87" s="243"/>
      <c r="V87" s="243"/>
      <c r="W87" s="243"/>
      <c r="X87" s="243"/>
      <c r="Y87" s="243"/>
      <c r="Z87" s="243"/>
      <c r="AA87" s="243"/>
      <c r="AB87" s="243"/>
      <c r="AC87" s="256"/>
      <c r="AE87" s="254">
        <v>76</v>
      </c>
      <c r="AF87" s="242"/>
      <c r="AG87" s="243"/>
      <c r="AH87" s="243"/>
      <c r="AI87" s="243"/>
      <c r="AJ87" s="243"/>
      <c r="AK87" s="243"/>
      <c r="AL87" s="243"/>
      <c r="AM87" s="243"/>
      <c r="AN87" s="243"/>
      <c r="AO87" s="243"/>
      <c r="AP87" s="243"/>
      <c r="AQ87" s="243"/>
      <c r="AR87" s="256"/>
      <c r="AT87" s="254">
        <v>76</v>
      </c>
      <c r="AU87" s="242"/>
      <c r="AV87" s="243"/>
      <c r="AW87" s="243"/>
      <c r="AX87" s="243"/>
      <c r="AY87" s="243"/>
      <c r="AZ87" s="243"/>
      <c r="BA87" s="243"/>
      <c r="BB87" s="243"/>
      <c r="BC87" s="243"/>
      <c r="BD87" s="243"/>
      <c r="BE87" s="243"/>
      <c r="BF87" s="243"/>
      <c r="BG87" s="256"/>
    </row>
    <row r="88" spans="1:59">
      <c r="A88" s="254">
        <v>77</v>
      </c>
      <c r="B88" s="242"/>
      <c r="C88" s="243"/>
      <c r="D88" s="243"/>
      <c r="E88" s="243"/>
      <c r="F88" s="243"/>
      <c r="G88" s="243"/>
      <c r="H88" s="243"/>
      <c r="I88" s="243"/>
      <c r="J88" s="243"/>
      <c r="K88" s="243"/>
      <c r="L88" s="243"/>
      <c r="M88" s="243"/>
      <c r="N88" s="256"/>
      <c r="P88" s="254">
        <v>77</v>
      </c>
      <c r="Q88" s="242"/>
      <c r="R88" s="243"/>
      <c r="S88" s="243"/>
      <c r="T88" s="243"/>
      <c r="U88" s="243"/>
      <c r="V88" s="243"/>
      <c r="W88" s="243"/>
      <c r="X88" s="243"/>
      <c r="Y88" s="243"/>
      <c r="Z88" s="243"/>
      <c r="AA88" s="243"/>
      <c r="AB88" s="243"/>
      <c r="AC88" s="256"/>
      <c r="AE88" s="254">
        <v>77</v>
      </c>
      <c r="AF88" s="242"/>
      <c r="AG88" s="243"/>
      <c r="AH88" s="243"/>
      <c r="AI88" s="243"/>
      <c r="AJ88" s="243"/>
      <c r="AK88" s="243"/>
      <c r="AL88" s="243"/>
      <c r="AM88" s="243"/>
      <c r="AN88" s="243"/>
      <c r="AO88" s="243"/>
      <c r="AP88" s="243"/>
      <c r="AQ88" s="243"/>
      <c r="AR88" s="256"/>
      <c r="AT88" s="254">
        <v>77</v>
      </c>
      <c r="AU88" s="242"/>
      <c r="AV88" s="243"/>
      <c r="AW88" s="243"/>
      <c r="AX88" s="243"/>
      <c r="AY88" s="243"/>
      <c r="AZ88" s="243"/>
      <c r="BA88" s="243"/>
      <c r="BB88" s="243"/>
      <c r="BC88" s="243"/>
      <c r="BD88" s="243"/>
      <c r="BE88" s="243"/>
      <c r="BF88" s="243"/>
      <c r="BG88" s="256"/>
    </row>
    <row r="89" spans="1:59">
      <c r="A89" s="254">
        <v>78</v>
      </c>
      <c r="B89" s="242"/>
      <c r="C89" s="243"/>
      <c r="D89" s="243"/>
      <c r="E89" s="243"/>
      <c r="F89" s="243"/>
      <c r="G89" s="243"/>
      <c r="H89" s="243"/>
      <c r="I89" s="243"/>
      <c r="J89" s="243"/>
      <c r="K89" s="243"/>
      <c r="L89" s="243"/>
      <c r="M89" s="243"/>
      <c r="N89" s="256"/>
      <c r="P89" s="254">
        <v>78</v>
      </c>
      <c r="Q89" s="242"/>
      <c r="R89" s="243"/>
      <c r="S89" s="243"/>
      <c r="T89" s="243"/>
      <c r="U89" s="243"/>
      <c r="V89" s="243"/>
      <c r="W89" s="243"/>
      <c r="X89" s="243"/>
      <c r="Y89" s="243"/>
      <c r="Z89" s="243"/>
      <c r="AA89" s="243"/>
      <c r="AB89" s="243"/>
      <c r="AC89" s="256"/>
      <c r="AE89" s="254">
        <v>78</v>
      </c>
      <c r="AF89" s="242"/>
      <c r="AG89" s="243"/>
      <c r="AH89" s="243"/>
      <c r="AI89" s="243"/>
      <c r="AJ89" s="243"/>
      <c r="AK89" s="243"/>
      <c r="AL89" s="243"/>
      <c r="AM89" s="243"/>
      <c r="AN89" s="243"/>
      <c r="AO89" s="243"/>
      <c r="AP89" s="243"/>
      <c r="AQ89" s="243"/>
      <c r="AR89" s="256"/>
      <c r="AT89" s="254">
        <v>78</v>
      </c>
      <c r="AU89" s="242"/>
      <c r="AV89" s="243"/>
      <c r="AW89" s="243"/>
      <c r="AX89" s="243"/>
      <c r="AY89" s="243"/>
      <c r="AZ89" s="243"/>
      <c r="BA89" s="243"/>
      <c r="BB89" s="243"/>
      <c r="BC89" s="243"/>
      <c r="BD89" s="243"/>
      <c r="BE89" s="243"/>
      <c r="BF89" s="243"/>
      <c r="BG89" s="256"/>
    </row>
    <row r="90" spans="1:59">
      <c r="A90" s="254">
        <v>79</v>
      </c>
      <c r="B90" s="242"/>
      <c r="C90" s="243"/>
      <c r="D90" s="243"/>
      <c r="E90" s="243"/>
      <c r="F90" s="243"/>
      <c r="G90" s="243"/>
      <c r="H90" s="243"/>
      <c r="I90" s="243"/>
      <c r="J90" s="243"/>
      <c r="K90" s="243"/>
      <c r="L90" s="243"/>
      <c r="M90" s="243"/>
      <c r="N90" s="256"/>
      <c r="P90" s="254">
        <v>79</v>
      </c>
      <c r="Q90" s="242"/>
      <c r="R90" s="243"/>
      <c r="S90" s="243"/>
      <c r="T90" s="243"/>
      <c r="U90" s="243"/>
      <c r="V90" s="243"/>
      <c r="W90" s="243"/>
      <c r="X90" s="243"/>
      <c r="Y90" s="243"/>
      <c r="Z90" s="243"/>
      <c r="AA90" s="243"/>
      <c r="AB90" s="243"/>
      <c r="AC90" s="256"/>
      <c r="AE90" s="254">
        <v>79</v>
      </c>
      <c r="AF90" s="242"/>
      <c r="AG90" s="243"/>
      <c r="AH90" s="243"/>
      <c r="AI90" s="243"/>
      <c r="AJ90" s="243"/>
      <c r="AK90" s="243"/>
      <c r="AL90" s="243"/>
      <c r="AM90" s="243"/>
      <c r="AN90" s="243"/>
      <c r="AO90" s="243"/>
      <c r="AP90" s="243"/>
      <c r="AQ90" s="243"/>
      <c r="AR90" s="256"/>
      <c r="AT90" s="254">
        <v>79</v>
      </c>
      <c r="AU90" s="242"/>
      <c r="AV90" s="243"/>
      <c r="AW90" s="243"/>
      <c r="AX90" s="243"/>
      <c r="AY90" s="243"/>
      <c r="AZ90" s="243"/>
      <c r="BA90" s="243"/>
      <c r="BB90" s="243"/>
      <c r="BC90" s="243"/>
      <c r="BD90" s="243"/>
      <c r="BE90" s="243"/>
      <c r="BF90" s="243"/>
      <c r="BG90" s="256"/>
    </row>
    <row r="91" spans="1:59">
      <c r="A91" s="254">
        <v>80</v>
      </c>
      <c r="B91" s="242"/>
      <c r="C91" s="243"/>
      <c r="D91" s="243"/>
      <c r="E91" s="243"/>
      <c r="F91" s="243"/>
      <c r="G91" s="243"/>
      <c r="H91" s="243"/>
      <c r="I91" s="243"/>
      <c r="J91" s="243"/>
      <c r="K91" s="243"/>
      <c r="L91" s="243"/>
      <c r="M91" s="243"/>
      <c r="N91" s="256"/>
      <c r="P91" s="254">
        <v>80</v>
      </c>
      <c r="Q91" s="242"/>
      <c r="R91" s="243"/>
      <c r="S91" s="243"/>
      <c r="T91" s="243"/>
      <c r="U91" s="243"/>
      <c r="V91" s="243"/>
      <c r="W91" s="243"/>
      <c r="X91" s="243"/>
      <c r="Y91" s="243"/>
      <c r="Z91" s="243"/>
      <c r="AA91" s="243"/>
      <c r="AB91" s="243"/>
      <c r="AC91" s="256"/>
      <c r="AE91" s="254">
        <v>80</v>
      </c>
      <c r="AF91" s="242"/>
      <c r="AG91" s="243"/>
      <c r="AH91" s="243"/>
      <c r="AI91" s="243"/>
      <c r="AJ91" s="243"/>
      <c r="AK91" s="243"/>
      <c r="AL91" s="243"/>
      <c r="AM91" s="243"/>
      <c r="AN91" s="243"/>
      <c r="AO91" s="243"/>
      <c r="AP91" s="243"/>
      <c r="AQ91" s="243"/>
      <c r="AR91" s="256"/>
      <c r="AT91" s="254">
        <v>80</v>
      </c>
      <c r="AU91" s="242"/>
      <c r="AV91" s="243"/>
      <c r="AW91" s="243"/>
      <c r="AX91" s="243"/>
      <c r="AY91" s="243"/>
      <c r="AZ91" s="243"/>
      <c r="BA91" s="243"/>
      <c r="BB91" s="243"/>
      <c r="BC91" s="243"/>
      <c r="BD91" s="243"/>
      <c r="BE91" s="243"/>
      <c r="BF91" s="243"/>
      <c r="BG91" s="256"/>
    </row>
    <row r="92" spans="1:59">
      <c r="A92" s="254">
        <v>81</v>
      </c>
      <c r="B92" s="242"/>
      <c r="C92" s="243"/>
      <c r="D92" s="243"/>
      <c r="E92" s="243"/>
      <c r="F92" s="243"/>
      <c r="G92" s="243"/>
      <c r="H92" s="243"/>
      <c r="I92" s="243"/>
      <c r="J92" s="243"/>
      <c r="K92" s="243"/>
      <c r="L92" s="243"/>
      <c r="M92" s="243"/>
      <c r="N92" s="256"/>
      <c r="P92" s="254">
        <v>81</v>
      </c>
      <c r="Q92" s="242"/>
      <c r="R92" s="243"/>
      <c r="S92" s="243"/>
      <c r="T92" s="243"/>
      <c r="U92" s="243"/>
      <c r="V92" s="243"/>
      <c r="W92" s="243"/>
      <c r="X92" s="243"/>
      <c r="Y92" s="243"/>
      <c r="Z92" s="243"/>
      <c r="AA92" s="243"/>
      <c r="AB92" s="243"/>
      <c r="AC92" s="256"/>
      <c r="AE92" s="254">
        <v>81</v>
      </c>
      <c r="AF92" s="242"/>
      <c r="AG92" s="243"/>
      <c r="AH92" s="243"/>
      <c r="AI92" s="243"/>
      <c r="AJ92" s="243"/>
      <c r="AK92" s="243"/>
      <c r="AL92" s="243"/>
      <c r="AM92" s="243"/>
      <c r="AN92" s="243"/>
      <c r="AO92" s="243"/>
      <c r="AP92" s="243"/>
      <c r="AQ92" s="243"/>
      <c r="AR92" s="256"/>
      <c r="AT92" s="254">
        <v>81</v>
      </c>
      <c r="AU92" s="242"/>
      <c r="AV92" s="243"/>
      <c r="AW92" s="243"/>
      <c r="AX92" s="243"/>
      <c r="AY92" s="243"/>
      <c r="AZ92" s="243"/>
      <c r="BA92" s="243"/>
      <c r="BB92" s="243"/>
      <c r="BC92" s="243"/>
      <c r="BD92" s="243"/>
      <c r="BE92" s="243"/>
      <c r="BF92" s="243"/>
      <c r="BG92" s="256"/>
    </row>
    <row r="93" spans="1:59">
      <c r="A93" s="254">
        <v>82</v>
      </c>
      <c r="B93" s="242"/>
      <c r="C93" s="243"/>
      <c r="D93" s="243"/>
      <c r="E93" s="243"/>
      <c r="F93" s="243"/>
      <c r="G93" s="243"/>
      <c r="H93" s="243"/>
      <c r="I93" s="243"/>
      <c r="J93" s="243"/>
      <c r="K93" s="243"/>
      <c r="L93" s="243"/>
      <c r="M93" s="243"/>
      <c r="N93" s="256"/>
      <c r="P93" s="254">
        <v>82</v>
      </c>
      <c r="Q93" s="242"/>
      <c r="R93" s="243"/>
      <c r="S93" s="243"/>
      <c r="T93" s="243"/>
      <c r="U93" s="243"/>
      <c r="V93" s="243"/>
      <c r="W93" s="243"/>
      <c r="X93" s="243"/>
      <c r="Y93" s="243"/>
      <c r="Z93" s="243"/>
      <c r="AA93" s="243"/>
      <c r="AB93" s="243"/>
      <c r="AC93" s="256"/>
      <c r="AE93" s="254">
        <v>82</v>
      </c>
      <c r="AF93" s="242"/>
      <c r="AG93" s="243"/>
      <c r="AH93" s="243"/>
      <c r="AI93" s="243"/>
      <c r="AJ93" s="243"/>
      <c r="AK93" s="243"/>
      <c r="AL93" s="243"/>
      <c r="AM93" s="243"/>
      <c r="AN93" s="243"/>
      <c r="AO93" s="243"/>
      <c r="AP93" s="243"/>
      <c r="AQ93" s="243"/>
      <c r="AR93" s="256"/>
      <c r="AT93" s="254">
        <v>82</v>
      </c>
      <c r="AU93" s="242"/>
      <c r="AV93" s="243"/>
      <c r="AW93" s="243"/>
      <c r="AX93" s="243"/>
      <c r="AY93" s="243"/>
      <c r="AZ93" s="243"/>
      <c r="BA93" s="243"/>
      <c r="BB93" s="243"/>
      <c r="BC93" s="243"/>
      <c r="BD93" s="243"/>
      <c r="BE93" s="243"/>
      <c r="BF93" s="243"/>
      <c r="BG93" s="256"/>
    </row>
    <row r="94" spans="1:59">
      <c r="A94" s="254">
        <v>83</v>
      </c>
      <c r="B94" s="242"/>
      <c r="C94" s="243"/>
      <c r="D94" s="243"/>
      <c r="E94" s="243"/>
      <c r="F94" s="243"/>
      <c r="G94" s="243"/>
      <c r="H94" s="243"/>
      <c r="I94" s="243"/>
      <c r="J94" s="243"/>
      <c r="K94" s="243"/>
      <c r="L94" s="243"/>
      <c r="M94" s="243"/>
      <c r="N94" s="256"/>
      <c r="P94" s="254">
        <v>83</v>
      </c>
      <c r="Q94" s="242"/>
      <c r="R94" s="243"/>
      <c r="S94" s="243"/>
      <c r="T94" s="243"/>
      <c r="U94" s="243"/>
      <c r="V94" s="243"/>
      <c r="W94" s="243"/>
      <c r="X94" s="243"/>
      <c r="Y94" s="243"/>
      <c r="Z94" s="243"/>
      <c r="AA94" s="243"/>
      <c r="AB94" s="243"/>
      <c r="AC94" s="256"/>
      <c r="AE94" s="254">
        <v>83</v>
      </c>
      <c r="AF94" s="242"/>
      <c r="AG94" s="243"/>
      <c r="AH94" s="243"/>
      <c r="AI94" s="243"/>
      <c r="AJ94" s="243"/>
      <c r="AK94" s="243"/>
      <c r="AL94" s="243"/>
      <c r="AM94" s="243"/>
      <c r="AN94" s="243"/>
      <c r="AO94" s="243"/>
      <c r="AP94" s="243"/>
      <c r="AQ94" s="243"/>
      <c r="AR94" s="256"/>
      <c r="AT94" s="254">
        <v>83</v>
      </c>
      <c r="AU94" s="242"/>
      <c r="AV94" s="243"/>
      <c r="AW94" s="243"/>
      <c r="AX94" s="243"/>
      <c r="AY94" s="243"/>
      <c r="AZ94" s="243"/>
      <c r="BA94" s="243"/>
      <c r="BB94" s="243"/>
      <c r="BC94" s="243"/>
      <c r="BD94" s="243"/>
      <c r="BE94" s="243"/>
      <c r="BF94" s="243"/>
      <c r="BG94" s="256"/>
    </row>
    <row r="95" spans="1:59">
      <c r="A95" s="254">
        <v>84</v>
      </c>
      <c r="B95" s="242"/>
      <c r="C95" s="243"/>
      <c r="D95" s="243"/>
      <c r="E95" s="243"/>
      <c r="F95" s="243"/>
      <c r="G95" s="243"/>
      <c r="H95" s="243"/>
      <c r="I95" s="243"/>
      <c r="J95" s="243"/>
      <c r="K95" s="243"/>
      <c r="L95" s="243"/>
      <c r="M95" s="243"/>
      <c r="N95" s="256"/>
      <c r="P95" s="254">
        <v>84</v>
      </c>
      <c r="Q95" s="242"/>
      <c r="R95" s="243"/>
      <c r="S95" s="243"/>
      <c r="T95" s="243"/>
      <c r="U95" s="243"/>
      <c r="V95" s="243"/>
      <c r="W95" s="243"/>
      <c r="X95" s="243"/>
      <c r="Y95" s="243"/>
      <c r="Z95" s="243"/>
      <c r="AA95" s="243"/>
      <c r="AB95" s="243"/>
      <c r="AC95" s="256"/>
      <c r="AE95" s="254">
        <v>84</v>
      </c>
      <c r="AF95" s="242"/>
      <c r="AG95" s="243"/>
      <c r="AH95" s="243"/>
      <c r="AI95" s="243"/>
      <c r="AJ95" s="243"/>
      <c r="AK95" s="243"/>
      <c r="AL95" s="243"/>
      <c r="AM95" s="243"/>
      <c r="AN95" s="243"/>
      <c r="AO95" s="243"/>
      <c r="AP95" s="243"/>
      <c r="AQ95" s="243"/>
      <c r="AR95" s="256"/>
      <c r="AT95" s="254">
        <v>84</v>
      </c>
      <c r="AU95" s="242"/>
      <c r="AV95" s="243"/>
      <c r="AW95" s="243"/>
      <c r="AX95" s="243"/>
      <c r="AY95" s="243"/>
      <c r="AZ95" s="243"/>
      <c r="BA95" s="243"/>
      <c r="BB95" s="243"/>
      <c r="BC95" s="243"/>
      <c r="BD95" s="243"/>
      <c r="BE95" s="243"/>
      <c r="BF95" s="243"/>
      <c r="BG95" s="256"/>
    </row>
    <row r="96" spans="1:59">
      <c r="A96" s="254">
        <v>85</v>
      </c>
      <c r="B96" s="242"/>
      <c r="C96" s="243"/>
      <c r="D96" s="243"/>
      <c r="E96" s="243"/>
      <c r="F96" s="243"/>
      <c r="G96" s="243"/>
      <c r="H96" s="243"/>
      <c r="I96" s="243"/>
      <c r="J96" s="243"/>
      <c r="K96" s="243"/>
      <c r="L96" s="243"/>
      <c r="M96" s="243"/>
      <c r="N96" s="256"/>
      <c r="P96" s="254">
        <v>85</v>
      </c>
      <c r="Q96" s="242"/>
      <c r="R96" s="243"/>
      <c r="S96" s="243"/>
      <c r="T96" s="243"/>
      <c r="U96" s="243"/>
      <c r="V96" s="243"/>
      <c r="W96" s="243"/>
      <c r="X96" s="243"/>
      <c r="Y96" s="243"/>
      <c r="Z96" s="243"/>
      <c r="AA96" s="243"/>
      <c r="AB96" s="243"/>
      <c r="AC96" s="256"/>
      <c r="AE96" s="254">
        <v>85</v>
      </c>
      <c r="AF96" s="242"/>
      <c r="AG96" s="243"/>
      <c r="AH96" s="243"/>
      <c r="AI96" s="243"/>
      <c r="AJ96" s="243"/>
      <c r="AK96" s="243"/>
      <c r="AL96" s="243"/>
      <c r="AM96" s="243"/>
      <c r="AN96" s="243"/>
      <c r="AO96" s="243"/>
      <c r="AP96" s="243"/>
      <c r="AQ96" s="243"/>
      <c r="AR96" s="256"/>
      <c r="AT96" s="254">
        <v>85</v>
      </c>
      <c r="AU96" s="242"/>
      <c r="AV96" s="243"/>
      <c r="AW96" s="243"/>
      <c r="AX96" s="243"/>
      <c r="AY96" s="243"/>
      <c r="AZ96" s="243"/>
      <c r="BA96" s="243"/>
      <c r="BB96" s="243"/>
      <c r="BC96" s="243"/>
      <c r="BD96" s="243"/>
      <c r="BE96" s="243"/>
      <c r="BF96" s="243"/>
      <c r="BG96" s="256"/>
    </row>
    <row r="97" spans="1:59">
      <c r="A97" s="254">
        <v>86</v>
      </c>
      <c r="B97" s="242"/>
      <c r="C97" s="243"/>
      <c r="D97" s="243"/>
      <c r="E97" s="243"/>
      <c r="F97" s="243"/>
      <c r="G97" s="243"/>
      <c r="H97" s="243"/>
      <c r="I97" s="243"/>
      <c r="J97" s="243"/>
      <c r="K97" s="243"/>
      <c r="L97" s="243"/>
      <c r="M97" s="243"/>
      <c r="N97" s="256"/>
      <c r="P97" s="254">
        <v>86</v>
      </c>
      <c r="Q97" s="242"/>
      <c r="R97" s="243"/>
      <c r="S97" s="243"/>
      <c r="T97" s="243"/>
      <c r="U97" s="243"/>
      <c r="V97" s="243"/>
      <c r="W97" s="243"/>
      <c r="X97" s="243"/>
      <c r="Y97" s="243"/>
      <c r="Z97" s="243"/>
      <c r="AA97" s="243"/>
      <c r="AB97" s="243"/>
      <c r="AC97" s="256"/>
      <c r="AE97" s="254">
        <v>86</v>
      </c>
      <c r="AF97" s="242"/>
      <c r="AG97" s="243"/>
      <c r="AH97" s="243"/>
      <c r="AI97" s="243"/>
      <c r="AJ97" s="243"/>
      <c r="AK97" s="243"/>
      <c r="AL97" s="243"/>
      <c r="AM97" s="243"/>
      <c r="AN97" s="243"/>
      <c r="AO97" s="243"/>
      <c r="AP97" s="243"/>
      <c r="AQ97" s="243"/>
      <c r="AR97" s="256"/>
      <c r="AT97" s="254">
        <v>86</v>
      </c>
      <c r="AU97" s="242"/>
      <c r="AV97" s="243"/>
      <c r="AW97" s="243"/>
      <c r="AX97" s="243"/>
      <c r="AY97" s="243"/>
      <c r="AZ97" s="243"/>
      <c r="BA97" s="243"/>
      <c r="BB97" s="243"/>
      <c r="BC97" s="243"/>
      <c r="BD97" s="243"/>
      <c r="BE97" s="243"/>
      <c r="BF97" s="243"/>
      <c r="BG97" s="256"/>
    </row>
    <row r="98" spans="1:59">
      <c r="A98" s="254">
        <v>87</v>
      </c>
      <c r="B98" s="242"/>
      <c r="C98" s="243"/>
      <c r="D98" s="243"/>
      <c r="E98" s="243"/>
      <c r="F98" s="243"/>
      <c r="G98" s="243"/>
      <c r="H98" s="243"/>
      <c r="I98" s="243"/>
      <c r="J98" s="243"/>
      <c r="K98" s="243"/>
      <c r="L98" s="243"/>
      <c r="M98" s="243"/>
      <c r="N98" s="256"/>
      <c r="P98" s="254">
        <v>87</v>
      </c>
      <c r="Q98" s="242"/>
      <c r="R98" s="243"/>
      <c r="S98" s="243"/>
      <c r="T98" s="243"/>
      <c r="U98" s="243"/>
      <c r="V98" s="243"/>
      <c r="W98" s="243"/>
      <c r="X98" s="243"/>
      <c r="Y98" s="243"/>
      <c r="Z98" s="243"/>
      <c r="AA98" s="243"/>
      <c r="AB98" s="243"/>
      <c r="AC98" s="256"/>
      <c r="AE98" s="254">
        <v>87</v>
      </c>
      <c r="AF98" s="242"/>
      <c r="AG98" s="243"/>
      <c r="AH98" s="243"/>
      <c r="AI98" s="243"/>
      <c r="AJ98" s="243"/>
      <c r="AK98" s="243"/>
      <c r="AL98" s="243"/>
      <c r="AM98" s="243"/>
      <c r="AN98" s="243"/>
      <c r="AO98" s="243"/>
      <c r="AP98" s="243"/>
      <c r="AQ98" s="243"/>
      <c r="AR98" s="256"/>
      <c r="AT98" s="254">
        <v>87</v>
      </c>
      <c r="AU98" s="242"/>
      <c r="AV98" s="243"/>
      <c r="AW98" s="243"/>
      <c r="AX98" s="243"/>
      <c r="AY98" s="243"/>
      <c r="AZ98" s="243"/>
      <c r="BA98" s="243"/>
      <c r="BB98" s="243"/>
      <c r="BC98" s="243"/>
      <c r="BD98" s="243"/>
      <c r="BE98" s="243"/>
      <c r="BF98" s="243"/>
      <c r="BG98" s="256"/>
    </row>
    <row r="99" spans="1:59">
      <c r="A99" s="254">
        <v>88</v>
      </c>
      <c r="B99" s="242"/>
      <c r="C99" s="243"/>
      <c r="D99" s="243"/>
      <c r="E99" s="243"/>
      <c r="F99" s="243"/>
      <c r="G99" s="243"/>
      <c r="H99" s="243"/>
      <c r="I99" s="243"/>
      <c r="J99" s="243"/>
      <c r="K99" s="243"/>
      <c r="L99" s="243"/>
      <c r="M99" s="243"/>
      <c r="N99" s="256"/>
      <c r="P99" s="254">
        <v>88</v>
      </c>
      <c r="Q99" s="242"/>
      <c r="R99" s="243"/>
      <c r="S99" s="243"/>
      <c r="T99" s="243"/>
      <c r="U99" s="243"/>
      <c r="V99" s="243"/>
      <c r="W99" s="243"/>
      <c r="X99" s="243"/>
      <c r="Y99" s="243"/>
      <c r="Z99" s="243"/>
      <c r="AA99" s="243"/>
      <c r="AB99" s="243"/>
      <c r="AC99" s="256"/>
      <c r="AE99" s="254">
        <v>88</v>
      </c>
      <c r="AF99" s="242"/>
      <c r="AG99" s="243"/>
      <c r="AH99" s="243"/>
      <c r="AI99" s="243"/>
      <c r="AJ99" s="243"/>
      <c r="AK99" s="243"/>
      <c r="AL99" s="243"/>
      <c r="AM99" s="243"/>
      <c r="AN99" s="243"/>
      <c r="AO99" s="243"/>
      <c r="AP99" s="243"/>
      <c r="AQ99" s="243"/>
      <c r="AR99" s="256"/>
      <c r="AT99" s="254">
        <v>88</v>
      </c>
      <c r="AU99" s="242"/>
      <c r="AV99" s="243"/>
      <c r="AW99" s="243"/>
      <c r="AX99" s="243"/>
      <c r="AY99" s="243"/>
      <c r="AZ99" s="243"/>
      <c r="BA99" s="243"/>
      <c r="BB99" s="243"/>
      <c r="BC99" s="243"/>
      <c r="BD99" s="243"/>
      <c r="BE99" s="243"/>
      <c r="BF99" s="243"/>
      <c r="BG99" s="256"/>
    </row>
    <row r="100" spans="1:59">
      <c r="A100" s="254">
        <v>89</v>
      </c>
      <c r="B100" s="242"/>
      <c r="C100" s="243"/>
      <c r="D100" s="243"/>
      <c r="E100" s="243"/>
      <c r="F100" s="243"/>
      <c r="G100" s="243"/>
      <c r="H100" s="243"/>
      <c r="I100" s="243"/>
      <c r="J100" s="243"/>
      <c r="K100" s="243"/>
      <c r="L100" s="243"/>
      <c r="M100" s="243"/>
      <c r="N100" s="256"/>
      <c r="P100" s="254">
        <v>89</v>
      </c>
      <c r="Q100" s="242"/>
      <c r="R100" s="243"/>
      <c r="S100" s="243"/>
      <c r="T100" s="243"/>
      <c r="U100" s="243"/>
      <c r="V100" s="243"/>
      <c r="W100" s="243"/>
      <c r="X100" s="243"/>
      <c r="Y100" s="243"/>
      <c r="Z100" s="243"/>
      <c r="AA100" s="243"/>
      <c r="AB100" s="243"/>
      <c r="AC100" s="256"/>
      <c r="AE100" s="254">
        <v>89</v>
      </c>
      <c r="AF100" s="242"/>
      <c r="AG100" s="243"/>
      <c r="AH100" s="243"/>
      <c r="AI100" s="243"/>
      <c r="AJ100" s="243"/>
      <c r="AK100" s="243"/>
      <c r="AL100" s="243"/>
      <c r="AM100" s="243"/>
      <c r="AN100" s="243"/>
      <c r="AO100" s="243"/>
      <c r="AP100" s="243"/>
      <c r="AQ100" s="243"/>
      <c r="AR100" s="256"/>
      <c r="AT100" s="254">
        <v>89</v>
      </c>
      <c r="AU100" s="242"/>
      <c r="AV100" s="243"/>
      <c r="AW100" s="243"/>
      <c r="AX100" s="243"/>
      <c r="AY100" s="243"/>
      <c r="AZ100" s="243"/>
      <c r="BA100" s="243"/>
      <c r="BB100" s="243"/>
      <c r="BC100" s="243"/>
      <c r="BD100" s="243"/>
      <c r="BE100" s="243"/>
      <c r="BF100" s="243"/>
      <c r="BG100" s="256"/>
    </row>
    <row r="101" spans="1:59">
      <c r="A101" s="254">
        <v>90</v>
      </c>
      <c r="B101" s="242"/>
      <c r="C101" s="243"/>
      <c r="D101" s="243"/>
      <c r="E101" s="243"/>
      <c r="F101" s="243"/>
      <c r="G101" s="243"/>
      <c r="H101" s="243"/>
      <c r="I101" s="243"/>
      <c r="J101" s="243"/>
      <c r="K101" s="243"/>
      <c r="L101" s="243"/>
      <c r="M101" s="243"/>
      <c r="N101" s="256"/>
      <c r="P101" s="254">
        <v>90</v>
      </c>
      <c r="Q101" s="242"/>
      <c r="R101" s="243"/>
      <c r="S101" s="243"/>
      <c r="T101" s="243"/>
      <c r="U101" s="243"/>
      <c r="V101" s="243"/>
      <c r="W101" s="243"/>
      <c r="X101" s="243"/>
      <c r="Y101" s="243"/>
      <c r="Z101" s="243"/>
      <c r="AA101" s="243"/>
      <c r="AB101" s="243"/>
      <c r="AC101" s="256"/>
      <c r="AE101" s="254">
        <v>90</v>
      </c>
      <c r="AF101" s="242"/>
      <c r="AG101" s="243"/>
      <c r="AH101" s="243"/>
      <c r="AI101" s="243"/>
      <c r="AJ101" s="243"/>
      <c r="AK101" s="243"/>
      <c r="AL101" s="243"/>
      <c r="AM101" s="243"/>
      <c r="AN101" s="243"/>
      <c r="AO101" s="243"/>
      <c r="AP101" s="243"/>
      <c r="AQ101" s="243"/>
      <c r="AR101" s="256"/>
      <c r="AT101" s="254">
        <v>90</v>
      </c>
      <c r="AU101" s="242"/>
      <c r="AV101" s="243"/>
      <c r="AW101" s="243"/>
      <c r="AX101" s="243"/>
      <c r="AY101" s="243"/>
      <c r="AZ101" s="243"/>
      <c r="BA101" s="243"/>
      <c r="BB101" s="243"/>
      <c r="BC101" s="243"/>
      <c r="BD101" s="243"/>
      <c r="BE101" s="243"/>
      <c r="BF101" s="243"/>
      <c r="BG101" s="256"/>
    </row>
    <row r="102" spans="1:59">
      <c r="A102" s="254">
        <v>91</v>
      </c>
      <c r="B102" s="242"/>
      <c r="C102" s="243"/>
      <c r="D102" s="243"/>
      <c r="E102" s="243"/>
      <c r="F102" s="243"/>
      <c r="G102" s="243"/>
      <c r="H102" s="243"/>
      <c r="I102" s="243"/>
      <c r="J102" s="243"/>
      <c r="K102" s="243"/>
      <c r="L102" s="243"/>
      <c r="M102" s="243"/>
      <c r="N102" s="256"/>
      <c r="P102" s="254">
        <v>91</v>
      </c>
      <c r="Q102" s="242"/>
      <c r="R102" s="243"/>
      <c r="S102" s="243"/>
      <c r="T102" s="243"/>
      <c r="U102" s="243"/>
      <c r="V102" s="243"/>
      <c r="W102" s="243"/>
      <c r="X102" s="243"/>
      <c r="Y102" s="243"/>
      <c r="Z102" s="243"/>
      <c r="AA102" s="243"/>
      <c r="AB102" s="243"/>
      <c r="AC102" s="256"/>
      <c r="AE102" s="254">
        <v>91</v>
      </c>
      <c r="AF102" s="242"/>
      <c r="AG102" s="243"/>
      <c r="AH102" s="243"/>
      <c r="AI102" s="243"/>
      <c r="AJ102" s="243"/>
      <c r="AK102" s="243"/>
      <c r="AL102" s="243"/>
      <c r="AM102" s="243"/>
      <c r="AN102" s="243"/>
      <c r="AO102" s="243"/>
      <c r="AP102" s="243"/>
      <c r="AQ102" s="243"/>
      <c r="AR102" s="256"/>
      <c r="AT102" s="254">
        <v>91</v>
      </c>
      <c r="AU102" s="242"/>
      <c r="AV102" s="243"/>
      <c r="AW102" s="243"/>
      <c r="AX102" s="243"/>
      <c r="AY102" s="243"/>
      <c r="AZ102" s="243"/>
      <c r="BA102" s="243"/>
      <c r="BB102" s="243"/>
      <c r="BC102" s="243"/>
      <c r="BD102" s="243"/>
      <c r="BE102" s="243"/>
      <c r="BF102" s="243"/>
      <c r="BG102" s="256"/>
    </row>
    <row r="103" spans="1:59">
      <c r="A103" s="254">
        <v>92</v>
      </c>
      <c r="B103" s="242"/>
      <c r="C103" s="243"/>
      <c r="D103" s="243"/>
      <c r="E103" s="243"/>
      <c r="F103" s="243"/>
      <c r="G103" s="243"/>
      <c r="H103" s="243"/>
      <c r="I103" s="243"/>
      <c r="J103" s="243"/>
      <c r="K103" s="243"/>
      <c r="L103" s="243"/>
      <c r="M103" s="243"/>
      <c r="N103" s="256"/>
      <c r="P103" s="254">
        <v>92</v>
      </c>
      <c r="Q103" s="242"/>
      <c r="R103" s="243"/>
      <c r="S103" s="243"/>
      <c r="T103" s="243"/>
      <c r="U103" s="243"/>
      <c r="V103" s="243"/>
      <c r="W103" s="243"/>
      <c r="X103" s="243"/>
      <c r="Y103" s="243"/>
      <c r="Z103" s="243"/>
      <c r="AA103" s="243"/>
      <c r="AB103" s="243"/>
      <c r="AC103" s="256"/>
      <c r="AE103" s="254">
        <v>92</v>
      </c>
      <c r="AF103" s="242"/>
      <c r="AG103" s="243"/>
      <c r="AH103" s="243"/>
      <c r="AI103" s="243"/>
      <c r="AJ103" s="243"/>
      <c r="AK103" s="243"/>
      <c r="AL103" s="243"/>
      <c r="AM103" s="243"/>
      <c r="AN103" s="243"/>
      <c r="AO103" s="243"/>
      <c r="AP103" s="243"/>
      <c r="AQ103" s="243"/>
      <c r="AR103" s="256"/>
      <c r="AT103" s="254">
        <v>92</v>
      </c>
      <c r="AU103" s="242"/>
      <c r="AV103" s="243"/>
      <c r="AW103" s="243"/>
      <c r="AX103" s="243"/>
      <c r="AY103" s="243"/>
      <c r="AZ103" s="243"/>
      <c r="BA103" s="243"/>
      <c r="BB103" s="243"/>
      <c r="BC103" s="243"/>
      <c r="BD103" s="243"/>
      <c r="BE103" s="243"/>
      <c r="BF103" s="243"/>
      <c r="BG103" s="256"/>
    </row>
    <row r="104" spans="1:59">
      <c r="A104" s="254">
        <v>93</v>
      </c>
      <c r="B104" s="242"/>
      <c r="C104" s="243"/>
      <c r="D104" s="243"/>
      <c r="E104" s="243"/>
      <c r="F104" s="243"/>
      <c r="G104" s="243"/>
      <c r="H104" s="243"/>
      <c r="I104" s="243"/>
      <c r="J104" s="243"/>
      <c r="K104" s="243"/>
      <c r="L104" s="243"/>
      <c r="M104" s="243"/>
      <c r="N104" s="256"/>
      <c r="P104" s="254">
        <v>93</v>
      </c>
      <c r="Q104" s="242"/>
      <c r="R104" s="243"/>
      <c r="S104" s="243"/>
      <c r="T104" s="243"/>
      <c r="U104" s="243"/>
      <c r="V104" s="243"/>
      <c r="W104" s="243"/>
      <c r="X104" s="243"/>
      <c r="Y104" s="243"/>
      <c r="Z104" s="243"/>
      <c r="AA104" s="243"/>
      <c r="AB104" s="243"/>
      <c r="AC104" s="256"/>
      <c r="AE104" s="254">
        <v>93</v>
      </c>
      <c r="AF104" s="242"/>
      <c r="AG104" s="243"/>
      <c r="AH104" s="243"/>
      <c r="AI104" s="243"/>
      <c r="AJ104" s="243"/>
      <c r="AK104" s="243"/>
      <c r="AL104" s="243"/>
      <c r="AM104" s="243"/>
      <c r="AN104" s="243"/>
      <c r="AO104" s="243"/>
      <c r="AP104" s="243"/>
      <c r="AQ104" s="243"/>
      <c r="AR104" s="256"/>
      <c r="AT104" s="254">
        <v>93</v>
      </c>
      <c r="AU104" s="242"/>
      <c r="AV104" s="243"/>
      <c r="AW104" s="243"/>
      <c r="AX104" s="243"/>
      <c r="AY104" s="243"/>
      <c r="AZ104" s="243"/>
      <c r="BA104" s="243"/>
      <c r="BB104" s="243"/>
      <c r="BC104" s="243"/>
      <c r="BD104" s="243"/>
      <c r="BE104" s="243"/>
      <c r="BF104" s="243"/>
      <c r="BG104" s="256"/>
    </row>
    <row r="105" spans="1:59">
      <c r="A105" s="254">
        <v>94</v>
      </c>
      <c r="B105" s="242"/>
      <c r="C105" s="243"/>
      <c r="D105" s="243"/>
      <c r="E105" s="243"/>
      <c r="F105" s="243"/>
      <c r="G105" s="243"/>
      <c r="H105" s="243"/>
      <c r="I105" s="243"/>
      <c r="J105" s="243"/>
      <c r="K105" s="243"/>
      <c r="L105" s="243"/>
      <c r="M105" s="243"/>
      <c r="N105" s="256"/>
      <c r="P105" s="254">
        <v>94</v>
      </c>
      <c r="Q105" s="242"/>
      <c r="R105" s="243"/>
      <c r="S105" s="243"/>
      <c r="T105" s="243"/>
      <c r="U105" s="243"/>
      <c r="V105" s="243"/>
      <c r="W105" s="243"/>
      <c r="X105" s="243"/>
      <c r="Y105" s="243"/>
      <c r="Z105" s="243"/>
      <c r="AA105" s="243"/>
      <c r="AB105" s="243"/>
      <c r="AC105" s="256"/>
      <c r="AE105" s="254">
        <v>94</v>
      </c>
      <c r="AF105" s="242"/>
      <c r="AG105" s="243"/>
      <c r="AH105" s="243"/>
      <c r="AI105" s="243"/>
      <c r="AJ105" s="243"/>
      <c r="AK105" s="243"/>
      <c r="AL105" s="243"/>
      <c r="AM105" s="243"/>
      <c r="AN105" s="243"/>
      <c r="AO105" s="243"/>
      <c r="AP105" s="243"/>
      <c r="AQ105" s="243"/>
      <c r="AR105" s="256"/>
      <c r="AT105" s="254">
        <v>94</v>
      </c>
      <c r="AU105" s="242"/>
      <c r="AV105" s="243"/>
      <c r="AW105" s="243"/>
      <c r="AX105" s="243"/>
      <c r="AY105" s="243"/>
      <c r="AZ105" s="243"/>
      <c r="BA105" s="243"/>
      <c r="BB105" s="243"/>
      <c r="BC105" s="243"/>
      <c r="BD105" s="243"/>
      <c r="BE105" s="243"/>
      <c r="BF105" s="243"/>
      <c r="BG105" s="256"/>
    </row>
    <row r="106" spans="1:59">
      <c r="A106" s="254">
        <v>95</v>
      </c>
      <c r="B106" s="242"/>
      <c r="C106" s="243"/>
      <c r="D106" s="243"/>
      <c r="E106" s="243"/>
      <c r="F106" s="243"/>
      <c r="G106" s="243"/>
      <c r="H106" s="243"/>
      <c r="I106" s="243"/>
      <c r="J106" s="243"/>
      <c r="K106" s="243"/>
      <c r="L106" s="243"/>
      <c r="M106" s="243"/>
      <c r="N106" s="256"/>
      <c r="P106" s="254">
        <v>95</v>
      </c>
      <c r="Q106" s="242"/>
      <c r="R106" s="243"/>
      <c r="S106" s="243"/>
      <c r="T106" s="243"/>
      <c r="U106" s="243"/>
      <c r="V106" s="243"/>
      <c r="W106" s="243"/>
      <c r="X106" s="243"/>
      <c r="Y106" s="243"/>
      <c r="Z106" s="243"/>
      <c r="AA106" s="243"/>
      <c r="AB106" s="243"/>
      <c r="AC106" s="256"/>
      <c r="AE106" s="254">
        <v>95</v>
      </c>
      <c r="AF106" s="242"/>
      <c r="AG106" s="243"/>
      <c r="AH106" s="243"/>
      <c r="AI106" s="243"/>
      <c r="AJ106" s="243"/>
      <c r="AK106" s="243"/>
      <c r="AL106" s="243"/>
      <c r="AM106" s="243"/>
      <c r="AN106" s="243"/>
      <c r="AO106" s="243"/>
      <c r="AP106" s="243"/>
      <c r="AQ106" s="243"/>
      <c r="AR106" s="256"/>
      <c r="AT106" s="254">
        <v>95</v>
      </c>
      <c r="AU106" s="242"/>
      <c r="AV106" s="243"/>
      <c r="AW106" s="243"/>
      <c r="AX106" s="243"/>
      <c r="AY106" s="243"/>
      <c r="AZ106" s="243"/>
      <c r="BA106" s="243"/>
      <c r="BB106" s="243"/>
      <c r="BC106" s="243"/>
      <c r="BD106" s="243"/>
      <c r="BE106" s="243"/>
      <c r="BF106" s="243"/>
      <c r="BG106" s="256"/>
    </row>
    <row r="107" spans="1:59">
      <c r="A107" s="254">
        <v>96</v>
      </c>
      <c r="B107" s="242"/>
      <c r="C107" s="243"/>
      <c r="D107" s="243"/>
      <c r="E107" s="243"/>
      <c r="F107" s="243"/>
      <c r="G107" s="243"/>
      <c r="H107" s="243"/>
      <c r="I107" s="243"/>
      <c r="J107" s="243"/>
      <c r="K107" s="243"/>
      <c r="L107" s="243"/>
      <c r="M107" s="243"/>
      <c r="N107" s="256"/>
      <c r="P107" s="254">
        <v>96</v>
      </c>
      <c r="Q107" s="242"/>
      <c r="R107" s="243"/>
      <c r="S107" s="243"/>
      <c r="T107" s="243"/>
      <c r="U107" s="243"/>
      <c r="V107" s="243"/>
      <c r="W107" s="243"/>
      <c r="X107" s="243"/>
      <c r="Y107" s="243"/>
      <c r="Z107" s="243"/>
      <c r="AA107" s="243"/>
      <c r="AB107" s="243"/>
      <c r="AC107" s="256"/>
      <c r="AE107" s="254">
        <v>96</v>
      </c>
      <c r="AF107" s="242"/>
      <c r="AG107" s="243"/>
      <c r="AH107" s="243"/>
      <c r="AI107" s="243"/>
      <c r="AJ107" s="243"/>
      <c r="AK107" s="243"/>
      <c r="AL107" s="243"/>
      <c r="AM107" s="243"/>
      <c r="AN107" s="243"/>
      <c r="AO107" s="243"/>
      <c r="AP107" s="243"/>
      <c r="AQ107" s="243"/>
      <c r="AR107" s="256"/>
      <c r="AT107" s="254">
        <v>96</v>
      </c>
      <c r="AU107" s="242"/>
      <c r="AV107" s="243"/>
      <c r="AW107" s="243"/>
      <c r="AX107" s="243"/>
      <c r="AY107" s="243"/>
      <c r="AZ107" s="243"/>
      <c r="BA107" s="243"/>
      <c r="BB107" s="243"/>
      <c r="BC107" s="243"/>
      <c r="BD107" s="243"/>
      <c r="BE107" s="243"/>
      <c r="BF107" s="243"/>
      <c r="BG107" s="256"/>
    </row>
    <row r="108" spans="1:59">
      <c r="A108" s="254">
        <v>97</v>
      </c>
      <c r="B108" s="242"/>
      <c r="C108" s="243"/>
      <c r="D108" s="243"/>
      <c r="E108" s="243"/>
      <c r="F108" s="243"/>
      <c r="G108" s="243"/>
      <c r="H108" s="243"/>
      <c r="I108" s="243"/>
      <c r="J108" s="243"/>
      <c r="K108" s="243"/>
      <c r="L108" s="243"/>
      <c r="M108" s="243"/>
      <c r="N108" s="256"/>
      <c r="P108" s="254">
        <v>97</v>
      </c>
      <c r="Q108" s="242"/>
      <c r="R108" s="243"/>
      <c r="S108" s="243"/>
      <c r="T108" s="243"/>
      <c r="U108" s="243"/>
      <c r="V108" s="243"/>
      <c r="W108" s="243"/>
      <c r="X108" s="243"/>
      <c r="Y108" s="243"/>
      <c r="Z108" s="243"/>
      <c r="AA108" s="243"/>
      <c r="AB108" s="243"/>
      <c r="AC108" s="256"/>
      <c r="AE108" s="254">
        <v>97</v>
      </c>
      <c r="AF108" s="242"/>
      <c r="AG108" s="243"/>
      <c r="AH108" s="243"/>
      <c r="AI108" s="243"/>
      <c r="AJ108" s="243"/>
      <c r="AK108" s="243"/>
      <c r="AL108" s="243"/>
      <c r="AM108" s="243"/>
      <c r="AN108" s="243"/>
      <c r="AO108" s="243"/>
      <c r="AP108" s="243"/>
      <c r="AQ108" s="243"/>
      <c r="AR108" s="256"/>
      <c r="AT108" s="254">
        <v>97</v>
      </c>
      <c r="AU108" s="242"/>
      <c r="AV108" s="243"/>
      <c r="AW108" s="243"/>
      <c r="AX108" s="243"/>
      <c r="AY108" s="243"/>
      <c r="AZ108" s="243"/>
      <c r="BA108" s="243"/>
      <c r="BB108" s="243"/>
      <c r="BC108" s="243"/>
      <c r="BD108" s="243"/>
      <c r="BE108" s="243"/>
      <c r="BF108" s="243"/>
      <c r="BG108" s="256"/>
    </row>
    <row r="109" spans="1:59">
      <c r="A109" s="254">
        <v>98</v>
      </c>
      <c r="B109" s="242"/>
      <c r="C109" s="243"/>
      <c r="D109" s="243"/>
      <c r="E109" s="243"/>
      <c r="F109" s="243"/>
      <c r="G109" s="243"/>
      <c r="H109" s="243"/>
      <c r="I109" s="243"/>
      <c r="J109" s="243"/>
      <c r="K109" s="243"/>
      <c r="L109" s="243"/>
      <c r="M109" s="243"/>
      <c r="N109" s="256"/>
      <c r="P109" s="254">
        <v>98</v>
      </c>
      <c r="Q109" s="242"/>
      <c r="R109" s="243"/>
      <c r="S109" s="243"/>
      <c r="T109" s="243"/>
      <c r="U109" s="243"/>
      <c r="V109" s="243"/>
      <c r="W109" s="243"/>
      <c r="X109" s="243"/>
      <c r="Y109" s="243"/>
      <c r="Z109" s="243"/>
      <c r="AA109" s="243"/>
      <c r="AB109" s="243"/>
      <c r="AC109" s="256"/>
      <c r="AE109" s="254">
        <v>98</v>
      </c>
      <c r="AF109" s="242"/>
      <c r="AG109" s="243"/>
      <c r="AH109" s="243"/>
      <c r="AI109" s="243"/>
      <c r="AJ109" s="243"/>
      <c r="AK109" s="243"/>
      <c r="AL109" s="243"/>
      <c r="AM109" s="243"/>
      <c r="AN109" s="243"/>
      <c r="AO109" s="243"/>
      <c r="AP109" s="243"/>
      <c r="AQ109" s="243"/>
      <c r="AR109" s="256"/>
      <c r="AT109" s="254">
        <v>98</v>
      </c>
      <c r="AU109" s="242"/>
      <c r="AV109" s="243"/>
      <c r="AW109" s="243"/>
      <c r="AX109" s="243"/>
      <c r="AY109" s="243"/>
      <c r="AZ109" s="243"/>
      <c r="BA109" s="243"/>
      <c r="BB109" s="243"/>
      <c r="BC109" s="243"/>
      <c r="BD109" s="243"/>
      <c r="BE109" s="243"/>
      <c r="BF109" s="243"/>
      <c r="BG109" s="256"/>
    </row>
    <row r="110" spans="1:59">
      <c r="A110" s="254">
        <v>99</v>
      </c>
      <c r="B110" s="242"/>
      <c r="C110" s="243"/>
      <c r="D110" s="243"/>
      <c r="E110" s="243"/>
      <c r="F110" s="243"/>
      <c r="G110" s="243"/>
      <c r="H110" s="243"/>
      <c r="I110" s="243"/>
      <c r="J110" s="243"/>
      <c r="K110" s="243"/>
      <c r="L110" s="243"/>
      <c r="M110" s="243"/>
      <c r="N110" s="256"/>
      <c r="P110" s="254">
        <v>99</v>
      </c>
      <c r="Q110" s="242"/>
      <c r="R110" s="243"/>
      <c r="S110" s="243"/>
      <c r="T110" s="243"/>
      <c r="U110" s="243"/>
      <c r="V110" s="243"/>
      <c r="W110" s="243"/>
      <c r="X110" s="243"/>
      <c r="Y110" s="243"/>
      <c r="Z110" s="243"/>
      <c r="AA110" s="243"/>
      <c r="AB110" s="243"/>
      <c r="AC110" s="256"/>
      <c r="AE110" s="254">
        <v>99</v>
      </c>
      <c r="AF110" s="242"/>
      <c r="AG110" s="243"/>
      <c r="AH110" s="243"/>
      <c r="AI110" s="243"/>
      <c r="AJ110" s="243"/>
      <c r="AK110" s="243"/>
      <c r="AL110" s="243"/>
      <c r="AM110" s="243"/>
      <c r="AN110" s="243"/>
      <c r="AO110" s="243"/>
      <c r="AP110" s="243"/>
      <c r="AQ110" s="243"/>
      <c r="AR110" s="256"/>
      <c r="AT110" s="254">
        <v>99</v>
      </c>
      <c r="AU110" s="242"/>
      <c r="AV110" s="243"/>
      <c r="AW110" s="243"/>
      <c r="AX110" s="243"/>
      <c r="AY110" s="243"/>
      <c r="AZ110" s="243"/>
      <c r="BA110" s="243"/>
      <c r="BB110" s="243"/>
      <c r="BC110" s="243"/>
      <c r="BD110" s="243"/>
      <c r="BE110" s="243"/>
      <c r="BF110" s="243"/>
      <c r="BG110" s="256"/>
    </row>
    <row r="111" spans="1:59">
      <c r="A111" s="257">
        <v>100</v>
      </c>
      <c r="B111" s="248"/>
      <c r="C111" s="249"/>
      <c r="D111" s="249"/>
      <c r="E111" s="249"/>
      <c r="F111" s="249"/>
      <c r="G111" s="249"/>
      <c r="H111" s="249"/>
      <c r="I111" s="249"/>
      <c r="J111" s="249"/>
      <c r="K111" s="249"/>
      <c r="L111" s="249"/>
      <c r="M111" s="249"/>
      <c r="N111" s="258"/>
      <c r="P111" s="257">
        <v>100</v>
      </c>
      <c r="Q111" s="248"/>
      <c r="R111" s="249"/>
      <c r="S111" s="249"/>
      <c r="T111" s="249"/>
      <c r="U111" s="249"/>
      <c r="V111" s="249"/>
      <c r="W111" s="249"/>
      <c r="X111" s="249"/>
      <c r="Y111" s="249"/>
      <c r="Z111" s="249"/>
      <c r="AA111" s="249"/>
      <c r="AB111" s="249"/>
      <c r="AC111" s="258"/>
      <c r="AE111" s="257">
        <v>100</v>
      </c>
      <c r="AF111" s="248"/>
      <c r="AG111" s="249"/>
      <c r="AH111" s="249"/>
      <c r="AI111" s="249"/>
      <c r="AJ111" s="249"/>
      <c r="AK111" s="249"/>
      <c r="AL111" s="249"/>
      <c r="AM111" s="249"/>
      <c r="AN111" s="249"/>
      <c r="AO111" s="249"/>
      <c r="AP111" s="249"/>
      <c r="AQ111" s="249"/>
      <c r="AR111" s="258"/>
      <c r="AT111" s="257">
        <v>100</v>
      </c>
      <c r="AU111" s="248"/>
      <c r="AV111" s="249"/>
      <c r="AW111" s="249"/>
      <c r="AX111" s="249"/>
      <c r="AY111" s="249"/>
      <c r="AZ111" s="249"/>
      <c r="BA111" s="249"/>
      <c r="BB111" s="249"/>
      <c r="BC111" s="249"/>
      <c r="BD111" s="249"/>
      <c r="BE111" s="249"/>
      <c r="BF111" s="249"/>
      <c r="BG111" s="258"/>
    </row>
    <row r="112" spans="1:59" ht="13" thickBot="1">
      <c r="A112" s="259" t="s">
        <v>36</v>
      </c>
      <c r="B112" s="260">
        <f>SUM(B12:B111)</f>
        <v>0</v>
      </c>
      <c r="C112" s="261">
        <f t="shared" ref="C112:M112" si="0">SUM(C12:C111)</f>
        <v>0</v>
      </c>
      <c r="D112" s="261">
        <f t="shared" si="0"/>
        <v>0</v>
      </c>
      <c r="E112" s="261">
        <f t="shared" si="0"/>
        <v>0</v>
      </c>
      <c r="F112" s="261">
        <f t="shared" si="0"/>
        <v>0</v>
      </c>
      <c r="G112" s="261">
        <f t="shared" si="0"/>
        <v>0</v>
      </c>
      <c r="H112" s="261">
        <f t="shared" si="0"/>
        <v>0</v>
      </c>
      <c r="I112" s="261">
        <f t="shared" si="0"/>
        <v>0</v>
      </c>
      <c r="J112" s="261">
        <f t="shared" si="0"/>
        <v>0</v>
      </c>
      <c r="K112" s="261">
        <f t="shared" si="0"/>
        <v>0</v>
      </c>
      <c r="L112" s="261">
        <f t="shared" si="0"/>
        <v>0</v>
      </c>
      <c r="M112" s="261">
        <f t="shared" si="0"/>
        <v>0</v>
      </c>
      <c r="N112" s="262">
        <f>SUM(N12:N111)</f>
        <v>0</v>
      </c>
      <c r="O112" s="217"/>
      <c r="P112" s="259" t="s">
        <v>36</v>
      </c>
      <c r="Q112" s="260">
        <f>SUM(Q12:Q111)</f>
        <v>0</v>
      </c>
      <c r="R112" s="261">
        <f t="shared" ref="R112:AB112" si="1">SUM(R12:R111)</f>
        <v>0</v>
      </c>
      <c r="S112" s="261">
        <f t="shared" si="1"/>
        <v>0</v>
      </c>
      <c r="T112" s="261">
        <f t="shared" si="1"/>
        <v>0</v>
      </c>
      <c r="U112" s="261">
        <f t="shared" si="1"/>
        <v>0</v>
      </c>
      <c r="V112" s="261">
        <f t="shared" si="1"/>
        <v>0</v>
      </c>
      <c r="W112" s="261">
        <f t="shared" si="1"/>
        <v>0</v>
      </c>
      <c r="X112" s="261">
        <f t="shared" si="1"/>
        <v>0</v>
      </c>
      <c r="Y112" s="261">
        <f t="shared" si="1"/>
        <v>0</v>
      </c>
      <c r="Z112" s="261">
        <f t="shared" si="1"/>
        <v>0</v>
      </c>
      <c r="AA112" s="261">
        <f t="shared" si="1"/>
        <v>0</v>
      </c>
      <c r="AB112" s="261">
        <f t="shared" si="1"/>
        <v>0</v>
      </c>
      <c r="AC112" s="262">
        <f>SUM(AC12:AC111)</f>
        <v>0</v>
      </c>
      <c r="AE112" s="259" t="s">
        <v>36</v>
      </c>
      <c r="AF112" s="260">
        <f>SUM(AF12:AF111)</f>
        <v>0</v>
      </c>
      <c r="AG112" s="261">
        <f t="shared" ref="AG112:AQ112" si="2">SUM(AG12:AG111)</f>
        <v>0</v>
      </c>
      <c r="AH112" s="261">
        <f t="shared" si="2"/>
        <v>0</v>
      </c>
      <c r="AI112" s="261">
        <f t="shared" si="2"/>
        <v>0</v>
      </c>
      <c r="AJ112" s="261">
        <f t="shared" si="2"/>
        <v>0</v>
      </c>
      <c r="AK112" s="261">
        <f t="shared" si="2"/>
        <v>0</v>
      </c>
      <c r="AL112" s="261">
        <f t="shared" si="2"/>
        <v>0</v>
      </c>
      <c r="AM112" s="261">
        <f t="shared" si="2"/>
        <v>0</v>
      </c>
      <c r="AN112" s="261">
        <f t="shared" si="2"/>
        <v>0</v>
      </c>
      <c r="AO112" s="261">
        <f t="shared" si="2"/>
        <v>0</v>
      </c>
      <c r="AP112" s="261">
        <f t="shared" si="2"/>
        <v>0</v>
      </c>
      <c r="AQ112" s="261">
        <f t="shared" si="2"/>
        <v>0</v>
      </c>
      <c r="AR112" s="262">
        <f>SUM(AR12:AR111)</f>
        <v>0</v>
      </c>
      <c r="AT112" s="259" t="s">
        <v>36</v>
      </c>
      <c r="AU112" s="260">
        <f>SUM(AU12:AU111)</f>
        <v>0</v>
      </c>
      <c r="AV112" s="261">
        <f t="shared" ref="AV112:BF112" si="3">SUM(AV12:AV111)</f>
        <v>0</v>
      </c>
      <c r="AW112" s="261">
        <f t="shared" si="3"/>
        <v>0</v>
      </c>
      <c r="AX112" s="261">
        <f t="shared" si="3"/>
        <v>0</v>
      </c>
      <c r="AY112" s="261">
        <f t="shared" si="3"/>
        <v>0</v>
      </c>
      <c r="AZ112" s="261">
        <f t="shared" si="3"/>
        <v>0</v>
      </c>
      <c r="BA112" s="261">
        <f t="shared" si="3"/>
        <v>0</v>
      </c>
      <c r="BB112" s="261">
        <f t="shared" si="3"/>
        <v>0</v>
      </c>
      <c r="BC112" s="261">
        <f t="shared" si="3"/>
        <v>0</v>
      </c>
      <c r="BD112" s="261">
        <f t="shared" si="3"/>
        <v>0</v>
      </c>
      <c r="BE112" s="261">
        <f t="shared" si="3"/>
        <v>0</v>
      </c>
      <c r="BF112" s="261">
        <f t="shared" si="3"/>
        <v>0</v>
      </c>
      <c r="BG112" s="262">
        <f>SUM(BG12:BG111)</f>
        <v>0</v>
      </c>
    </row>
  </sheetData>
  <mergeCells count="12">
    <mergeCell ref="B3:D3"/>
    <mergeCell ref="B4:D4"/>
    <mergeCell ref="B5:D5"/>
    <mergeCell ref="G6:I6"/>
    <mergeCell ref="B9:N9"/>
    <mergeCell ref="AF9:AR9"/>
    <mergeCell ref="AU9:BG9"/>
    <mergeCell ref="B10:N10"/>
    <mergeCell ref="Q10:AC10"/>
    <mergeCell ref="AF10:AR10"/>
    <mergeCell ref="AU10:BG10"/>
    <mergeCell ref="Q9:AC9"/>
  </mergeCells>
  <phoneticPr fontId="3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G112"/>
  <sheetViews>
    <sheetView workbookViewId="0">
      <selection activeCell="G6" sqref="G6:I6"/>
    </sheetView>
  </sheetViews>
  <sheetFormatPr defaultRowHeight="12.5"/>
  <cols>
    <col min="1" max="1" width="12.453125" customWidth="1"/>
    <col min="2"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59" ht="18">
      <c r="A1" s="34" t="s">
        <v>147</v>
      </c>
      <c r="B1" s="6"/>
      <c r="C1" s="4"/>
      <c r="D1" s="6"/>
      <c r="E1" s="6"/>
      <c r="F1" s="6"/>
      <c r="G1" s="6"/>
      <c r="H1" s="6"/>
      <c r="I1" s="221"/>
      <c r="J1" s="222"/>
      <c r="K1" s="222"/>
    </row>
    <row r="2" spans="1:59" ht="16" thickBot="1">
      <c r="A2" s="350" t="s">
        <v>146</v>
      </c>
      <c r="B2" s="6"/>
      <c r="C2" s="11"/>
      <c r="D2" s="6"/>
      <c r="E2" s="6"/>
      <c r="F2" s="6"/>
      <c r="G2" s="6"/>
      <c r="H2" s="6"/>
      <c r="I2" s="221"/>
      <c r="J2" s="222"/>
      <c r="K2" s="222"/>
    </row>
    <row r="3" spans="1:59" ht="16" thickBot="1">
      <c r="A3" s="346" t="s">
        <v>135</v>
      </c>
      <c r="B3" s="389" t="str">
        <f>'START HERE'!F6</f>
        <v>Korea</v>
      </c>
      <c r="C3" s="401"/>
      <c r="D3" s="390"/>
      <c r="E3" s="222"/>
      <c r="F3" s="31" t="s">
        <v>59</v>
      </c>
      <c r="G3" s="196" t="s">
        <v>102</v>
      </c>
      <c r="H3" s="199"/>
      <c r="I3" s="197"/>
      <c r="J3" s="222"/>
      <c r="K3" s="222"/>
    </row>
    <row r="4" spans="1:59" ht="15.5">
      <c r="A4" s="12" t="s">
        <v>22</v>
      </c>
      <c r="B4" s="389" t="str">
        <f>'START HERE'!F5</f>
        <v>Jack mackerel</v>
      </c>
      <c r="C4" s="401"/>
      <c r="D4" s="390"/>
      <c r="E4" s="222"/>
      <c r="F4" s="13" t="s">
        <v>45</v>
      </c>
      <c r="G4" s="216"/>
      <c r="H4" s="200"/>
      <c r="I4" s="84"/>
      <c r="J4" s="222"/>
      <c r="K4" s="222"/>
    </row>
    <row r="5" spans="1:59" ht="18">
      <c r="A5" s="12" t="s">
        <v>15</v>
      </c>
      <c r="B5" s="395">
        <f>'START HERE'!K3</f>
        <v>2018</v>
      </c>
      <c r="C5" s="402"/>
      <c r="D5" s="396"/>
      <c r="E5" s="222"/>
      <c r="F5" s="35" t="s">
        <v>46</v>
      </c>
      <c r="G5" s="85" t="s">
        <v>148</v>
      </c>
      <c r="H5" s="198"/>
      <c r="I5" s="86"/>
      <c r="J5" s="222"/>
      <c r="K5" s="222"/>
    </row>
    <row r="6" spans="1:59" ht="16" thickBot="1">
      <c r="A6" s="12"/>
      <c r="B6" s="81"/>
      <c r="C6" s="82"/>
      <c r="D6" s="6"/>
      <c r="F6" s="35" t="s">
        <v>16</v>
      </c>
      <c r="G6" s="384">
        <f>'START HERE'!$F8</f>
        <v>42252</v>
      </c>
      <c r="H6" s="385"/>
      <c r="I6" s="391"/>
      <c r="J6" s="222"/>
      <c r="K6" s="222"/>
    </row>
    <row r="7" spans="1:59">
      <c r="A7" s="6"/>
      <c r="B7" s="6"/>
      <c r="C7" s="6"/>
      <c r="D7" s="6"/>
      <c r="E7" s="6"/>
      <c r="F7" s="6"/>
      <c r="G7" s="6"/>
      <c r="H7" s="6"/>
      <c r="I7" s="221"/>
      <c r="J7" s="222"/>
      <c r="K7" s="222"/>
    </row>
    <row r="8" spans="1:59" ht="13" thickBot="1">
      <c r="A8" s="6"/>
      <c r="B8" s="6"/>
      <c r="C8" s="6"/>
      <c r="D8" s="6"/>
      <c r="E8" s="6"/>
      <c r="F8" s="6"/>
      <c r="G8" s="6"/>
      <c r="H8" s="6"/>
      <c r="I8" s="221"/>
      <c r="J8" s="222"/>
      <c r="K8" s="222"/>
    </row>
    <row r="9" spans="1:59" ht="15.5">
      <c r="A9" s="250"/>
      <c r="B9" s="406" t="s">
        <v>61</v>
      </c>
      <c r="C9" s="406"/>
      <c r="D9" s="406"/>
      <c r="E9" s="406"/>
      <c r="F9" s="406"/>
      <c r="G9" s="406"/>
      <c r="H9" s="406"/>
      <c r="I9" s="406"/>
      <c r="J9" s="406"/>
      <c r="K9" s="406"/>
      <c r="L9" s="406"/>
      <c r="M9" s="406"/>
      <c r="N9" s="407"/>
      <c r="P9" s="250"/>
      <c r="Q9" s="406" t="s">
        <v>37</v>
      </c>
      <c r="R9" s="406"/>
      <c r="S9" s="406"/>
      <c r="T9" s="406"/>
      <c r="U9" s="406"/>
      <c r="V9" s="406"/>
      <c r="W9" s="406"/>
      <c r="X9" s="406"/>
      <c r="Y9" s="406"/>
      <c r="Z9" s="406"/>
      <c r="AA9" s="406"/>
      <c r="AB9" s="406"/>
      <c r="AC9" s="407"/>
      <c r="AE9" s="250"/>
      <c r="AF9" s="406" t="s">
        <v>38</v>
      </c>
      <c r="AG9" s="406"/>
      <c r="AH9" s="406"/>
      <c r="AI9" s="406"/>
      <c r="AJ9" s="406"/>
      <c r="AK9" s="406"/>
      <c r="AL9" s="406"/>
      <c r="AM9" s="406"/>
      <c r="AN9" s="406"/>
      <c r="AO9" s="406"/>
      <c r="AP9" s="406"/>
      <c r="AQ9" s="406"/>
      <c r="AR9" s="407"/>
      <c r="AT9" s="250"/>
      <c r="AU9" s="406" t="s">
        <v>39</v>
      </c>
      <c r="AV9" s="406"/>
      <c r="AW9" s="406"/>
      <c r="AX9" s="406"/>
      <c r="AY9" s="406"/>
      <c r="AZ9" s="406"/>
      <c r="BA9" s="406"/>
      <c r="BB9" s="406"/>
      <c r="BC9" s="406"/>
      <c r="BD9" s="406"/>
      <c r="BE9" s="406"/>
      <c r="BF9" s="406"/>
      <c r="BG9" s="407"/>
    </row>
    <row r="10" spans="1:59" ht="13">
      <c r="A10" s="251" t="s">
        <v>92</v>
      </c>
      <c r="B10" s="403" t="s">
        <v>90</v>
      </c>
      <c r="C10" s="404"/>
      <c r="D10" s="404"/>
      <c r="E10" s="404"/>
      <c r="F10" s="404"/>
      <c r="G10" s="404"/>
      <c r="H10" s="404"/>
      <c r="I10" s="404"/>
      <c r="J10" s="404"/>
      <c r="K10" s="404"/>
      <c r="L10" s="404"/>
      <c r="M10" s="404"/>
      <c r="N10" s="405"/>
      <c r="P10" s="251" t="s">
        <v>92</v>
      </c>
      <c r="Q10" s="403" t="s">
        <v>90</v>
      </c>
      <c r="R10" s="404"/>
      <c r="S10" s="404"/>
      <c r="T10" s="404"/>
      <c r="U10" s="404"/>
      <c r="V10" s="404"/>
      <c r="W10" s="404"/>
      <c r="X10" s="404"/>
      <c r="Y10" s="404"/>
      <c r="Z10" s="404"/>
      <c r="AA10" s="404"/>
      <c r="AB10" s="404"/>
      <c r="AC10" s="405"/>
      <c r="AE10" s="251" t="s">
        <v>92</v>
      </c>
      <c r="AF10" s="403" t="s">
        <v>90</v>
      </c>
      <c r="AG10" s="404"/>
      <c r="AH10" s="404"/>
      <c r="AI10" s="404"/>
      <c r="AJ10" s="404"/>
      <c r="AK10" s="404"/>
      <c r="AL10" s="404"/>
      <c r="AM10" s="404"/>
      <c r="AN10" s="404"/>
      <c r="AO10" s="404"/>
      <c r="AP10" s="404"/>
      <c r="AQ10" s="404"/>
      <c r="AR10" s="405"/>
      <c r="AT10" s="251" t="s">
        <v>92</v>
      </c>
      <c r="AU10" s="403" t="s">
        <v>90</v>
      </c>
      <c r="AV10" s="404"/>
      <c r="AW10" s="404"/>
      <c r="AX10" s="404"/>
      <c r="AY10" s="404"/>
      <c r="AZ10" s="404"/>
      <c r="BA10" s="404"/>
      <c r="BB10" s="404"/>
      <c r="BC10" s="404"/>
      <c r="BD10" s="404"/>
      <c r="BE10" s="404"/>
      <c r="BF10" s="404"/>
      <c r="BG10" s="405"/>
    </row>
    <row r="11" spans="1:59" ht="13">
      <c r="A11" s="252" t="s">
        <v>49</v>
      </c>
      <c r="B11" s="246">
        <v>0</v>
      </c>
      <c r="C11" s="247">
        <v>1</v>
      </c>
      <c r="D11" s="247">
        <v>2</v>
      </c>
      <c r="E11" s="247">
        <v>3</v>
      </c>
      <c r="F11" s="247">
        <v>4</v>
      </c>
      <c r="G11" s="247">
        <v>5</v>
      </c>
      <c r="H11" s="247">
        <v>6</v>
      </c>
      <c r="I11" s="247">
        <v>7</v>
      </c>
      <c r="J11" s="247">
        <v>8</v>
      </c>
      <c r="K11" s="247">
        <v>9</v>
      </c>
      <c r="L11" s="247">
        <v>10</v>
      </c>
      <c r="M11" s="247">
        <v>11</v>
      </c>
      <c r="N11" s="253">
        <v>12</v>
      </c>
      <c r="P11" s="252" t="s">
        <v>49</v>
      </c>
      <c r="Q11" s="246">
        <v>0</v>
      </c>
      <c r="R11" s="247">
        <v>1</v>
      </c>
      <c r="S11" s="247">
        <v>2</v>
      </c>
      <c r="T11" s="247">
        <v>3</v>
      </c>
      <c r="U11" s="247">
        <v>4</v>
      </c>
      <c r="V11" s="247">
        <v>5</v>
      </c>
      <c r="W11" s="247">
        <v>6</v>
      </c>
      <c r="X11" s="247">
        <v>7</v>
      </c>
      <c r="Y11" s="247">
        <v>8</v>
      </c>
      <c r="Z11" s="247">
        <v>9</v>
      </c>
      <c r="AA11" s="247">
        <v>10</v>
      </c>
      <c r="AB11" s="247">
        <v>11</v>
      </c>
      <c r="AC11" s="253">
        <v>12</v>
      </c>
      <c r="AE11" s="252" t="s">
        <v>49</v>
      </c>
      <c r="AF11" s="246">
        <v>0</v>
      </c>
      <c r="AG11" s="247">
        <v>1</v>
      </c>
      <c r="AH11" s="247">
        <v>2</v>
      </c>
      <c r="AI11" s="247">
        <v>3</v>
      </c>
      <c r="AJ11" s="247">
        <v>4</v>
      </c>
      <c r="AK11" s="247">
        <v>5</v>
      </c>
      <c r="AL11" s="247">
        <v>6</v>
      </c>
      <c r="AM11" s="247">
        <v>7</v>
      </c>
      <c r="AN11" s="247">
        <v>8</v>
      </c>
      <c r="AO11" s="247">
        <v>9</v>
      </c>
      <c r="AP11" s="247">
        <v>10</v>
      </c>
      <c r="AQ11" s="247">
        <v>11</v>
      </c>
      <c r="AR11" s="253">
        <v>12</v>
      </c>
      <c r="AT11" s="252" t="s">
        <v>49</v>
      </c>
      <c r="AU11" s="246">
        <v>0</v>
      </c>
      <c r="AV11" s="247">
        <v>1</v>
      </c>
      <c r="AW11" s="247">
        <v>2</v>
      </c>
      <c r="AX11" s="247">
        <v>3</v>
      </c>
      <c r="AY11" s="247">
        <v>4</v>
      </c>
      <c r="AZ11" s="247">
        <v>5</v>
      </c>
      <c r="BA11" s="247">
        <v>6</v>
      </c>
      <c r="BB11" s="247">
        <v>7</v>
      </c>
      <c r="BC11" s="247">
        <v>8</v>
      </c>
      <c r="BD11" s="247">
        <v>9</v>
      </c>
      <c r="BE11" s="247">
        <v>10</v>
      </c>
      <c r="BF11" s="247">
        <v>11</v>
      </c>
      <c r="BG11" s="253">
        <v>12</v>
      </c>
    </row>
    <row r="12" spans="1:59">
      <c r="A12" s="254">
        <v>1</v>
      </c>
      <c r="B12" s="244"/>
      <c r="C12" s="245"/>
      <c r="D12" s="245"/>
      <c r="E12" s="245"/>
      <c r="F12" s="245"/>
      <c r="G12" s="245"/>
      <c r="H12" s="245"/>
      <c r="I12" s="245"/>
      <c r="J12" s="245"/>
      <c r="K12" s="245"/>
      <c r="L12" s="245"/>
      <c r="M12" s="245"/>
      <c r="N12" s="255"/>
      <c r="P12" s="254">
        <v>1</v>
      </c>
      <c r="Q12" s="244"/>
      <c r="R12" s="245"/>
      <c r="S12" s="245"/>
      <c r="T12" s="245"/>
      <c r="U12" s="245"/>
      <c r="V12" s="245"/>
      <c r="W12" s="245"/>
      <c r="X12" s="245"/>
      <c r="Y12" s="245"/>
      <c r="Z12" s="245"/>
      <c r="AA12" s="245"/>
      <c r="AB12" s="245"/>
      <c r="AC12" s="255"/>
      <c r="AE12" s="254">
        <v>1</v>
      </c>
      <c r="AF12" s="244"/>
      <c r="AG12" s="245"/>
      <c r="AH12" s="245"/>
      <c r="AI12" s="245"/>
      <c r="AJ12" s="245"/>
      <c r="AK12" s="245"/>
      <c r="AL12" s="245"/>
      <c r="AM12" s="245"/>
      <c r="AN12" s="245"/>
      <c r="AO12" s="245"/>
      <c r="AP12" s="245"/>
      <c r="AQ12" s="245"/>
      <c r="AR12" s="255"/>
      <c r="AT12" s="254">
        <v>1</v>
      </c>
      <c r="AU12" s="244"/>
      <c r="AV12" s="245"/>
      <c r="AW12" s="245"/>
      <c r="AX12" s="245"/>
      <c r="AY12" s="245"/>
      <c r="AZ12" s="245"/>
      <c r="BA12" s="245"/>
      <c r="BB12" s="245"/>
      <c r="BC12" s="245"/>
      <c r="BD12" s="245"/>
      <c r="BE12" s="245"/>
      <c r="BF12" s="245"/>
      <c r="BG12" s="255"/>
    </row>
    <row r="13" spans="1:59">
      <c r="A13" s="254">
        <v>2</v>
      </c>
      <c r="B13" s="242"/>
      <c r="C13" s="243"/>
      <c r="D13" s="243"/>
      <c r="E13" s="243"/>
      <c r="F13" s="243"/>
      <c r="G13" s="243"/>
      <c r="H13" s="243"/>
      <c r="I13" s="243"/>
      <c r="J13" s="243"/>
      <c r="K13" s="243"/>
      <c r="L13" s="243"/>
      <c r="M13" s="243"/>
      <c r="N13" s="256"/>
      <c r="P13" s="254">
        <v>2</v>
      </c>
      <c r="Q13" s="242"/>
      <c r="R13" s="243"/>
      <c r="S13" s="243"/>
      <c r="T13" s="243"/>
      <c r="U13" s="243"/>
      <c r="V13" s="243"/>
      <c r="W13" s="243"/>
      <c r="X13" s="243"/>
      <c r="Y13" s="243"/>
      <c r="Z13" s="243"/>
      <c r="AA13" s="243"/>
      <c r="AB13" s="243"/>
      <c r="AC13" s="256"/>
      <c r="AE13" s="254">
        <v>2</v>
      </c>
      <c r="AF13" s="242"/>
      <c r="AG13" s="243"/>
      <c r="AH13" s="243"/>
      <c r="AI13" s="243"/>
      <c r="AJ13" s="243"/>
      <c r="AK13" s="243"/>
      <c r="AL13" s="243"/>
      <c r="AM13" s="243"/>
      <c r="AN13" s="243"/>
      <c r="AO13" s="243"/>
      <c r="AP13" s="243"/>
      <c r="AQ13" s="243"/>
      <c r="AR13" s="256"/>
      <c r="AT13" s="254">
        <v>2</v>
      </c>
      <c r="AU13" s="242"/>
      <c r="AV13" s="243"/>
      <c r="AW13" s="243"/>
      <c r="AX13" s="243"/>
      <c r="AY13" s="243"/>
      <c r="AZ13" s="243"/>
      <c r="BA13" s="243"/>
      <c r="BB13" s="243"/>
      <c r="BC13" s="243"/>
      <c r="BD13" s="243"/>
      <c r="BE13" s="243"/>
      <c r="BF13" s="243"/>
      <c r="BG13" s="256"/>
    </row>
    <row r="14" spans="1:59">
      <c r="A14" s="254">
        <v>3</v>
      </c>
      <c r="B14" s="242"/>
      <c r="C14" s="243"/>
      <c r="D14" s="243"/>
      <c r="E14" s="243"/>
      <c r="F14" s="243"/>
      <c r="G14" s="243"/>
      <c r="H14" s="243"/>
      <c r="I14" s="243"/>
      <c r="J14" s="243"/>
      <c r="K14" s="243"/>
      <c r="L14" s="243"/>
      <c r="M14" s="243"/>
      <c r="N14" s="256"/>
      <c r="P14" s="254">
        <v>3</v>
      </c>
      <c r="Q14" s="242"/>
      <c r="R14" s="243"/>
      <c r="S14" s="243"/>
      <c r="T14" s="243"/>
      <c r="U14" s="243"/>
      <c r="V14" s="243"/>
      <c r="W14" s="243"/>
      <c r="X14" s="243"/>
      <c r="Y14" s="243"/>
      <c r="Z14" s="243"/>
      <c r="AA14" s="243"/>
      <c r="AB14" s="243"/>
      <c r="AC14" s="256"/>
      <c r="AE14" s="254">
        <v>3</v>
      </c>
      <c r="AF14" s="242"/>
      <c r="AG14" s="243"/>
      <c r="AH14" s="243"/>
      <c r="AI14" s="243"/>
      <c r="AJ14" s="243"/>
      <c r="AK14" s="243"/>
      <c r="AL14" s="243"/>
      <c r="AM14" s="243"/>
      <c r="AN14" s="243"/>
      <c r="AO14" s="243"/>
      <c r="AP14" s="243"/>
      <c r="AQ14" s="243"/>
      <c r="AR14" s="256"/>
      <c r="AT14" s="254">
        <v>3</v>
      </c>
      <c r="AU14" s="242"/>
      <c r="AV14" s="243"/>
      <c r="AW14" s="243"/>
      <c r="AX14" s="243"/>
      <c r="AY14" s="243"/>
      <c r="AZ14" s="243"/>
      <c r="BA14" s="243"/>
      <c r="BB14" s="243"/>
      <c r="BC14" s="243"/>
      <c r="BD14" s="243"/>
      <c r="BE14" s="243"/>
      <c r="BF14" s="243"/>
      <c r="BG14" s="256"/>
    </row>
    <row r="15" spans="1:59">
      <c r="A15" s="254">
        <v>4</v>
      </c>
      <c r="B15" s="242"/>
      <c r="C15" s="243"/>
      <c r="D15" s="243"/>
      <c r="E15" s="243"/>
      <c r="F15" s="243"/>
      <c r="G15" s="243"/>
      <c r="H15" s="243"/>
      <c r="I15" s="243"/>
      <c r="J15" s="243"/>
      <c r="K15" s="243"/>
      <c r="L15" s="243"/>
      <c r="M15" s="243"/>
      <c r="N15" s="256"/>
      <c r="P15" s="254">
        <v>4</v>
      </c>
      <c r="Q15" s="242"/>
      <c r="R15" s="243"/>
      <c r="S15" s="243"/>
      <c r="T15" s="243"/>
      <c r="U15" s="243"/>
      <c r="V15" s="243"/>
      <c r="W15" s="243"/>
      <c r="X15" s="243"/>
      <c r="Y15" s="243"/>
      <c r="Z15" s="243"/>
      <c r="AA15" s="243"/>
      <c r="AB15" s="243"/>
      <c r="AC15" s="256"/>
      <c r="AE15" s="254">
        <v>4</v>
      </c>
      <c r="AF15" s="242"/>
      <c r="AG15" s="243"/>
      <c r="AH15" s="243"/>
      <c r="AI15" s="243"/>
      <c r="AJ15" s="243"/>
      <c r="AK15" s="243"/>
      <c r="AL15" s="243"/>
      <c r="AM15" s="243"/>
      <c r="AN15" s="243"/>
      <c r="AO15" s="243"/>
      <c r="AP15" s="243"/>
      <c r="AQ15" s="243"/>
      <c r="AR15" s="256"/>
      <c r="AT15" s="254">
        <v>4</v>
      </c>
      <c r="AU15" s="242"/>
      <c r="AV15" s="243"/>
      <c r="AW15" s="243"/>
      <c r="AX15" s="243"/>
      <c r="AY15" s="243"/>
      <c r="AZ15" s="243"/>
      <c r="BA15" s="243"/>
      <c r="BB15" s="243"/>
      <c r="BC15" s="243"/>
      <c r="BD15" s="243"/>
      <c r="BE15" s="243"/>
      <c r="BF15" s="243"/>
      <c r="BG15" s="256"/>
    </row>
    <row r="16" spans="1:59">
      <c r="A16" s="254">
        <v>5</v>
      </c>
      <c r="B16" s="242"/>
      <c r="C16" s="243"/>
      <c r="D16" s="243"/>
      <c r="E16" s="243"/>
      <c r="F16" s="243"/>
      <c r="G16" s="243"/>
      <c r="H16" s="243"/>
      <c r="I16" s="243"/>
      <c r="J16" s="243"/>
      <c r="K16" s="243"/>
      <c r="L16" s="243"/>
      <c r="M16" s="243"/>
      <c r="N16" s="256"/>
      <c r="P16" s="254">
        <v>5</v>
      </c>
      <c r="Q16" s="242"/>
      <c r="R16" s="243"/>
      <c r="S16" s="243"/>
      <c r="T16" s="243"/>
      <c r="U16" s="243"/>
      <c r="V16" s="243"/>
      <c r="W16" s="243"/>
      <c r="X16" s="243"/>
      <c r="Y16" s="243"/>
      <c r="Z16" s="243"/>
      <c r="AA16" s="243"/>
      <c r="AB16" s="243"/>
      <c r="AC16" s="256"/>
      <c r="AE16" s="254">
        <v>5</v>
      </c>
      <c r="AF16" s="242"/>
      <c r="AG16" s="243"/>
      <c r="AH16" s="243"/>
      <c r="AI16" s="243"/>
      <c r="AJ16" s="243"/>
      <c r="AK16" s="243"/>
      <c r="AL16" s="243"/>
      <c r="AM16" s="243"/>
      <c r="AN16" s="243"/>
      <c r="AO16" s="243"/>
      <c r="AP16" s="243"/>
      <c r="AQ16" s="243"/>
      <c r="AR16" s="256"/>
      <c r="AT16" s="254">
        <v>5</v>
      </c>
      <c r="AU16" s="242"/>
      <c r="AV16" s="243"/>
      <c r="AW16" s="243"/>
      <c r="AX16" s="243"/>
      <c r="AY16" s="243"/>
      <c r="AZ16" s="243"/>
      <c r="BA16" s="243"/>
      <c r="BB16" s="243"/>
      <c r="BC16" s="243"/>
      <c r="BD16" s="243"/>
      <c r="BE16" s="243"/>
      <c r="BF16" s="243"/>
      <c r="BG16" s="256"/>
    </row>
    <row r="17" spans="1:59">
      <c r="A17" s="254">
        <v>6</v>
      </c>
      <c r="B17" s="242"/>
      <c r="C17" s="243"/>
      <c r="D17" s="243"/>
      <c r="E17" s="243"/>
      <c r="F17" s="243"/>
      <c r="G17" s="243"/>
      <c r="H17" s="243"/>
      <c r="I17" s="243"/>
      <c r="J17" s="243"/>
      <c r="K17" s="243"/>
      <c r="L17" s="243"/>
      <c r="M17" s="243"/>
      <c r="N17" s="256"/>
      <c r="P17" s="254">
        <v>6</v>
      </c>
      <c r="Q17" s="242"/>
      <c r="R17" s="243"/>
      <c r="S17" s="243"/>
      <c r="T17" s="243"/>
      <c r="U17" s="243"/>
      <c r="V17" s="243"/>
      <c r="W17" s="243"/>
      <c r="X17" s="243"/>
      <c r="Y17" s="243"/>
      <c r="Z17" s="243"/>
      <c r="AA17" s="243"/>
      <c r="AB17" s="243"/>
      <c r="AC17" s="256"/>
      <c r="AE17" s="254">
        <v>6</v>
      </c>
      <c r="AF17" s="242"/>
      <c r="AG17" s="243"/>
      <c r="AH17" s="243"/>
      <c r="AI17" s="243"/>
      <c r="AJ17" s="243"/>
      <c r="AK17" s="243"/>
      <c r="AL17" s="243"/>
      <c r="AM17" s="243"/>
      <c r="AN17" s="243"/>
      <c r="AO17" s="243"/>
      <c r="AP17" s="243"/>
      <c r="AQ17" s="243"/>
      <c r="AR17" s="256"/>
      <c r="AT17" s="254">
        <v>6</v>
      </c>
      <c r="AU17" s="242"/>
      <c r="AV17" s="243"/>
      <c r="AW17" s="243"/>
      <c r="AX17" s="243"/>
      <c r="AY17" s="243"/>
      <c r="AZ17" s="243"/>
      <c r="BA17" s="243"/>
      <c r="BB17" s="243"/>
      <c r="BC17" s="243"/>
      <c r="BD17" s="243"/>
      <c r="BE17" s="243"/>
      <c r="BF17" s="243"/>
      <c r="BG17" s="256"/>
    </row>
    <row r="18" spans="1:59">
      <c r="A18" s="254">
        <v>7</v>
      </c>
      <c r="B18" s="242"/>
      <c r="C18" s="243"/>
      <c r="D18" s="243"/>
      <c r="E18" s="243"/>
      <c r="F18" s="243"/>
      <c r="G18" s="243"/>
      <c r="H18" s="243"/>
      <c r="I18" s="243"/>
      <c r="J18" s="243"/>
      <c r="K18" s="243"/>
      <c r="L18" s="243"/>
      <c r="M18" s="243"/>
      <c r="N18" s="256"/>
      <c r="P18" s="254">
        <v>7</v>
      </c>
      <c r="Q18" s="242"/>
      <c r="R18" s="243"/>
      <c r="S18" s="243"/>
      <c r="T18" s="243"/>
      <c r="U18" s="243"/>
      <c r="V18" s="243"/>
      <c r="W18" s="243"/>
      <c r="X18" s="243"/>
      <c r="Y18" s="243"/>
      <c r="Z18" s="243"/>
      <c r="AA18" s="243"/>
      <c r="AB18" s="243"/>
      <c r="AC18" s="256"/>
      <c r="AE18" s="254">
        <v>7</v>
      </c>
      <c r="AF18" s="242"/>
      <c r="AG18" s="243"/>
      <c r="AH18" s="243"/>
      <c r="AI18" s="243"/>
      <c r="AJ18" s="243"/>
      <c r="AK18" s="243"/>
      <c r="AL18" s="243"/>
      <c r="AM18" s="243"/>
      <c r="AN18" s="243"/>
      <c r="AO18" s="243"/>
      <c r="AP18" s="243"/>
      <c r="AQ18" s="243"/>
      <c r="AR18" s="256"/>
      <c r="AT18" s="254">
        <v>7</v>
      </c>
      <c r="AU18" s="242"/>
      <c r="AV18" s="243"/>
      <c r="AW18" s="243"/>
      <c r="AX18" s="243"/>
      <c r="AY18" s="243"/>
      <c r="AZ18" s="243"/>
      <c r="BA18" s="243"/>
      <c r="BB18" s="243"/>
      <c r="BC18" s="243"/>
      <c r="BD18" s="243"/>
      <c r="BE18" s="243"/>
      <c r="BF18" s="243"/>
      <c r="BG18" s="256"/>
    </row>
    <row r="19" spans="1:59">
      <c r="A19" s="254">
        <v>8</v>
      </c>
      <c r="B19" s="242"/>
      <c r="C19" s="243"/>
      <c r="D19" s="243"/>
      <c r="E19" s="243"/>
      <c r="F19" s="243"/>
      <c r="G19" s="243"/>
      <c r="H19" s="243"/>
      <c r="I19" s="243"/>
      <c r="J19" s="243"/>
      <c r="K19" s="243"/>
      <c r="L19" s="243"/>
      <c r="M19" s="243"/>
      <c r="N19" s="256"/>
      <c r="P19" s="254">
        <v>8</v>
      </c>
      <c r="Q19" s="242"/>
      <c r="R19" s="243"/>
      <c r="S19" s="243"/>
      <c r="T19" s="243"/>
      <c r="U19" s="243"/>
      <c r="V19" s="243"/>
      <c r="W19" s="243"/>
      <c r="X19" s="243"/>
      <c r="Y19" s="243"/>
      <c r="Z19" s="243"/>
      <c r="AA19" s="243"/>
      <c r="AB19" s="243"/>
      <c r="AC19" s="256"/>
      <c r="AE19" s="254">
        <v>8</v>
      </c>
      <c r="AF19" s="242"/>
      <c r="AG19" s="243"/>
      <c r="AH19" s="243"/>
      <c r="AI19" s="243"/>
      <c r="AJ19" s="243"/>
      <c r="AK19" s="243"/>
      <c r="AL19" s="243"/>
      <c r="AM19" s="243"/>
      <c r="AN19" s="243"/>
      <c r="AO19" s="243"/>
      <c r="AP19" s="243"/>
      <c r="AQ19" s="243"/>
      <c r="AR19" s="256"/>
      <c r="AT19" s="254">
        <v>8</v>
      </c>
      <c r="AU19" s="242"/>
      <c r="AV19" s="243"/>
      <c r="AW19" s="243"/>
      <c r="AX19" s="243"/>
      <c r="AY19" s="243"/>
      <c r="AZ19" s="243"/>
      <c r="BA19" s="243"/>
      <c r="BB19" s="243"/>
      <c r="BC19" s="243"/>
      <c r="BD19" s="243"/>
      <c r="BE19" s="243"/>
      <c r="BF19" s="243"/>
      <c r="BG19" s="256"/>
    </row>
    <row r="20" spans="1:59">
      <c r="A20" s="254">
        <v>9</v>
      </c>
      <c r="B20" s="242"/>
      <c r="C20" s="243"/>
      <c r="D20" s="243"/>
      <c r="E20" s="243"/>
      <c r="F20" s="243"/>
      <c r="G20" s="243"/>
      <c r="H20" s="243"/>
      <c r="I20" s="243"/>
      <c r="J20" s="243"/>
      <c r="K20" s="243"/>
      <c r="L20" s="243"/>
      <c r="M20" s="243"/>
      <c r="N20" s="256"/>
      <c r="P20" s="254">
        <v>9</v>
      </c>
      <c r="Q20" s="242"/>
      <c r="R20" s="243"/>
      <c r="S20" s="243"/>
      <c r="T20" s="243"/>
      <c r="U20" s="243"/>
      <c r="V20" s="243"/>
      <c r="W20" s="243"/>
      <c r="X20" s="243"/>
      <c r="Y20" s="243"/>
      <c r="Z20" s="243"/>
      <c r="AA20" s="243"/>
      <c r="AB20" s="243"/>
      <c r="AC20" s="256"/>
      <c r="AE20" s="254">
        <v>9</v>
      </c>
      <c r="AF20" s="242"/>
      <c r="AG20" s="243"/>
      <c r="AH20" s="243"/>
      <c r="AI20" s="243"/>
      <c r="AJ20" s="243"/>
      <c r="AK20" s="243"/>
      <c r="AL20" s="243"/>
      <c r="AM20" s="243"/>
      <c r="AN20" s="243"/>
      <c r="AO20" s="243"/>
      <c r="AP20" s="243"/>
      <c r="AQ20" s="243"/>
      <c r="AR20" s="256"/>
      <c r="AT20" s="254">
        <v>9</v>
      </c>
      <c r="AU20" s="242"/>
      <c r="AV20" s="243"/>
      <c r="AW20" s="243"/>
      <c r="AX20" s="243"/>
      <c r="AY20" s="243"/>
      <c r="AZ20" s="243"/>
      <c r="BA20" s="243"/>
      <c r="BB20" s="243"/>
      <c r="BC20" s="243"/>
      <c r="BD20" s="243"/>
      <c r="BE20" s="243"/>
      <c r="BF20" s="243"/>
      <c r="BG20" s="256"/>
    </row>
    <row r="21" spans="1:59">
      <c r="A21" s="254">
        <v>10</v>
      </c>
      <c r="B21" s="242"/>
      <c r="C21" s="243"/>
      <c r="D21" s="243"/>
      <c r="E21" s="243"/>
      <c r="F21" s="243"/>
      <c r="G21" s="243"/>
      <c r="H21" s="243"/>
      <c r="I21" s="243"/>
      <c r="J21" s="243"/>
      <c r="K21" s="243"/>
      <c r="L21" s="243"/>
      <c r="M21" s="243"/>
      <c r="N21" s="256"/>
      <c r="P21" s="254">
        <v>10</v>
      </c>
      <c r="Q21" s="242"/>
      <c r="R21" s="243"/>
      <c r="S21" s="243"/>
      <c r="T21" s="243"/>
      <c r="U21" s="243"/>
      <c r="V21" s="243"/>
      <c r="W21" s="243"/>
      <c r="X21" s="243"/>
      <c r="Y21" s="243"/>
      <c r="Z21" s="243"/>
      <c r="AA21" s="243"/>
      <c r="AB21" s="243"/>
      <c r="AC21" s="256"/>
      <c r="AE21" s="254">
        <v>10</v>
      </c>
      <c r="AF21" s="242"/>
      <c r="AG21" s="243"/>
      <c r="AH21" s="243"/>
      <c r="AI21" s="243"/>
      <c r="AJ21" s="243"/>
      <c r="AK21" s="243"/>
      <c r="AL21" s="243"/>
      <c r="AM21" s="243"/>
      <c r="AN21" s="243"/>
      <c r="AO21" s="243"/>
      <c r="AP21" s="243"/>
      <c r="AQ21" s="243"/>
      <c r="AR21" s="256"/>
      <c r="AT21" s="254">
        <v>10</v>
      </c>
      <c r="AU21" s="242"/>
      <c r="AV21" s="243"/>
      <c r="AW21" s="243"/>
      <c r="AX21" s="243"/>
      <c r="AY21" s="243"/>
      <c r="AZ21" s="243"/>
      <c r="BA21" s="243"/>
      <c r="BB21" s="243"/>
      <c r="BC21" s="243"/>
      <c r="BD21" s="243"/>
      <c r="BE21" s="243"/>
      <c r="BF21" s="243"/>
      <c r="BG21" s="256"/>
    </row>
    <row r="22" spans="1:59">
      <c r="A22" s="254">
        <v>11</v>
      </c>
      <c r="B22" s="242"/>
      <c r="C22" s="243"/>
      <c r="D22" s="243"/>
      <c r="E22" s="243"/>
      <c r="F22" s="243"/>
      <c r="G22" s="243"/>
      <c r="H22" s="243"/>
      <c r="I22" s="243"/>
      <c r="J22" s="243"/>
      <c r="K22" s="243"/>
      <c r="L22" s="243"/>
      <c r="M22" s="243"/>
      <c r="N22" s="256"/>
      <c r="P22" s="254">
        <v>11</v>
      </c>
      <c r="Q22" s="242"/>
      <c r="R22" s="243"/>
      <c r="S22" s="243"/>
      <c r="T22" s="243"/>
      <c r="U22" s="243"/>
      <c r="V22" s="243"/>
      <c r="W22" s="243"/>
      <c r="X22" s="243"/>
      <c r="Y22" s="243"/>
      <c r="Z22" s="243"/>
      <c r="AA22" s="243"/>
      <c r="AB22" s="243"/>
      <c r="AC22" s="256"/>
      <c r="AE22" s="254">
        <v>11</v>
      </c>
      <c r="AF22" s="242"/>
      <c r="AG22" s="243"/>
      <c r="AH22" s="243"/>
      <c r="AI22" s="243"/>
      <c r="AJ22" s="243"/>
      <c r="AK22" s="243"/>
      <c r="AL22" s="243"/>
      <c r="AM22" s="243"/>
      <c r="AN22" s="243"/>
      <c r="AO22" s="243"/>
      <c r="AP22" s="243"/>
      <c r="AQ22" s="243"/>
      <c r="AR22" s="256"/>
      <c r="AT22" s="254">
        <v>11</v>
      </c>
      <c r="AU22" s="242"/>
      <c r="AV22" s="243"/>
      <c r="AW22" s="243"/>
      <c r="AX22" s="243"/>
      <c r="AY22" s="243"/>
      <c r="AZ22" s="243"/>
      <c r="BA22" s="243"/>
      <c r="BB22" s="243"/>
      <c r="BC22" s="243"/>
      <c r="BD22" s="243"/>
      <c r="BE22" s="243"/>
      <c r="BF22" s="243"/>
      <c r="BG22" s="256"/>
    </row>
    <row r="23" spans="1:59">
      <c r="A23" s="254">
        <v>12</v>
      </c>
      <c r="B23" s="242"/>
      <c r="C23" s="243"/>
      <c r="D23" s="243"/>
      <c r="E23" s="243"/>
      <c r="F23" s="243"/>
      <c r="G23" s="243"/>
      <c r="H23" s="243"/>
      <c r="I23" s="243"/>
      <c r="J23" s="243"/>
      <c r="K23" s="243"/>
      <c r="L23" s="243"/>
      <c r="M23" s="243"/>
      <c r="N23" s="256"/>
      <c r="P23" s="254">
        <v>12</v>
      </c>
      <c r="Q23" s="242"/>
      <c r="R23" s="243"/>
      <c r="S23" s="243"/>
      <c r="T23" s="243"/>
      <c r="U23" s="243"/>
      <c r="V23" s="243"/>
      <c r="W23" s="243"/>
      <c r="X23" s="243"/>
      <c r="Y23" s="243"/>
      <c r="Z23" s="243"/>
      <c r="AA23" s="243"/>
      <c r="AB23" s="243"/>
      <c r="AC23" s="256"/>
      <c r="AE23" s="254">
        <v>12</v>
      </c>
      <c r="AF23" s="242"/>
      <c r="AG23" s="243"/>
      <c r="AH23" s="243"/>
      <c r="AI23" s="243"/>
      <c r="AJ23" s="243"/>
      <c r="AK23" s="243"/>
      <c r="AL23" s="243"/>
      <c r="AM23" s="243"/>
      <c r="AN23" s="243"/>
      <c r="AO23" s="243"/>
      <c r="AP23" s="243"/>
      <c r="AQ23" s="243"/>
      <c r="AR23" s="256"/>
      <c r="AT23" s="254">
        <v>12</v>
      </c>
      <c r="AU23" s="242"/>
      <c r="AV23" s="243"/>
      <c r="AW23" s="243"/>
      <c r="AX23" s="243"/>
      <c r="AY23" s="243"/>
      <c r="AZ23" s="243"/>
      <c r="BA23" s="243"/>
      <c r="BB23" s="243"/>
      <c r="BC23" s="243"/>
      <c r="BD23" s="243"/>
      <c r="BE23" s="243"/>
      <c r="BF23" s="243"/>
      <c r="BG23" s="256"/>
    </row>
    <row r="24" spans="1:59">
      <c r="A24" s="254">
        <v>13</v>
      </c>
      <c r="B24" s="242"/>
      <c r="C24" s="243"/>
      <c r="D24" s="243"/>
      <c r="E24" s="243"/>
      <c r="F24" s="243"/>
      <c r="G24" s="243"/>
      <c r="H24" s="243"/>
      <c r="I24" s="243"/>
      <c r="J24" s="243"/>
      <c r="K24" s="243"/>
      <c r="L24" s="243"/>
      <c r="M24" s="243"/>
      <c r="N24" s="256"/>
      <c r="P24" s="254">
        <v>13</v>
      </c>
      <c r="Q24" s="242"/>
      <c r="R24" s="243"/>
      <c r="S24" s="243"/>
      <c r="T24" s="243"/>
      <c r="U24" s="243"/>
      <c r="V24" s="243"/>
      <c r="W24" s="243"/>
      <c r="X24" s="243"/>
      <c r="Y24" s="243"/>
      <c r="Z24" s="243"/>
      <c r="AA24" s="243"/>
      <c r="AB24" s="243"/>
      <c r="AC24" s="256"/>
      <c r="AE24" s="254">
        <v>13</v>
      </c>
      <c r="AF24" s="242"/>
      <c r="AG24" s="243"/>
      <c r="AH24" s="243"/>
      <c r="AI24" s="243"/>
      <c r="AJ24" s="243"/>
      <c r="AK24" s="243"/>
      <c r="AL24" s="243"/>
      <c r="AM24" s="243"/>
      <c r="AN24" s="243"/>
      <c r="AO24" s="243"/>
      <c r="AP24" s="243"/>
      <c r="AQ24" s="243"/>
      <c r="AR24" s="256"/>
      <c r="AT24" s="254">
        <v>13</v>
      </c>
      <c r="AU24" s="242"/>
      <c r="AV24" s="243"/>
      <c r="AW24" s="243"/>
      <c r="AX24" s="243"/>
      <c r="AY24" s="243"/>
      <c r="AZ24" s="243"/>
      <c r="BA24" s="243"/>
      <c r="BB24" s="243"/>
      <c r="BC24" s="243"/>
      <c r="BD24" s="243"/>
      <c r="BE24" s="243"/>
      <c r="BF24" s="243"/>
      <c r="BG24" s="256"/>
    </row>
    <row r="25" spans="1:59">
      <c r="A25" s="254">
        <v>14</v>
      </c>
      <c r="B25" s="242"/>
      <c r="C25" s="243"/>
      <c r="D25" s="243"/>
      <c r="E25" s="243"/>
      <c r="F25" s="243"/>
      <c r="G25" s="243"/>
      <c r="H25" s="243"/>
      <c r="I25" s="243"/>
      <c r="J25" s="243"/>
      <c r="K25" s="243"/>
      <c r="L25" s="243"/>
      <c r="M25" s="243"/>
      <c r="N25" s="256"/>
      <c r="P25" s="254">
        <v>14</v>
      </c>
      <c r="Q25" s="242"/>
      <c r="R25" s="243"/>
      <c r="S25" s="243"/>
      <c r="T25" s="243"/>
      <c r="U25" s="243"/>
      <c r="V25" s="243"/>
      <c r="W25" s="243"/>
      <c r="X25" s="243"/>
      <c r="Y25" s="243"/>
      <c r="Z25" s="243"/>
      <c r="AA25" s="243"/>
      <c r="AB25" s="243"/>
      <c r="AC25" s="256"/>
      <c r="AE25" s="254">
        <v>14</v>
      </c>
      <c r="AF25" s="242"/>
      <c r="AG25" s="243"/>
      <c r="AH25" s="243"/>
      <c r="AI25" s="243"/>
      <c r="AJ25" s="243"/>
      <c r="AK25" s="243"/>
      <c r="AL25" s="243"/>
      <c r="AM25" s="243"/>
      <c r="AN25" s="243"/>
      <c r="AO25" s="243"/>
      <c r="AP25" s="243"/>
      <c r="AQ25" s="243"/>
      <c r="AR25" s="256"/>
      <c r="AT25" s="254">
        <v>14</v>
      </c>
      <c r="AU25" s="242"/>
      <c r="AV25" s="243"/>
      <c r="AW25" s="243"/>
      <c r="AX25" s="243"/>
      <c r="AY25" s="243"/>
      <c r="AZ25" s="243"/>
      <c r="BA25" s="243"/>
      <c r="BB25" s="243"/>
      <c r="BC25" s="243"/>
      <c r="BD25" s="243"/>
      <c r="BE25" s="243"/>
      <c r="BF25" s="243"/>
      <c r="BG25" s="256"/>
    </row>
    <row r="26" spans="1:59">
      <c r="A26" s="254">
        <v>15</v>
      </c>
      <c r="B26" s="242"/>
      <c r="C26" s="243"/>
      <c r="D26" s="243"/>
      <c r="E26" s="243"/>
      <c r="F26" s="243"/>
      <c r="G26" s="243"/>
      <c r="H26" s="243"/>
      <c r="I26" s="243"/>
      <c r="J26" s="243"/>
      <c r="K26" s="243"/>
      <c r="L26" s="243"/>
      <c r="M26" s="243"/>
      <c r="N26" s="256"/>
      <c r="P26" s="254">
        <v>15</v>
      </c>
      <c r="Q26" s="242"/>
      <c r="R26" s="243"/>
      <c r="S26" s="243"/>
      <c r="T26" s="243"/>
      <c r="U26" s="243"/>
      <c r="V26" s="243"/>
      <c r="W26" s="243"/>
      <c r="X26" s="243"/>
      <c r="Y26" s="243"/>
      <c r="Z26" s="243"/>
      <c r="AA26" s="243"/>
      <c r="AB26" s="243"/>
      <c r="AC26" s="256"/>
      <c r="AE26" s="254">
        <v>15</v>
      </c>
      <c r="AF26" s="242"/>
      <c r="AG26" s="243"/>
      <c r="AH26" s="243"/>
      <c r="AI26" s="243"/>
      <c r="AJ26" s="243"/>
      <c r="AK26" s="243"/>
      <c r="AL26" s="243"/>
      <c r="AM26" s="243"/>
      <c r="AN26" s="243"/>
      <c r="AO26" s="243"/>
      <c r="AP26" s="243"/>
      <c r="AQ26" s="243"/>
      <c r="AR26" s="256"/>
      <c r="AT26" s="254">
        <v>15</v>
      </c>
      <c r="AU26" s="242"/>
      <c r="AV26" s="243"/>
      <c r="AW26" s="243"/>
      <c r="AX26" s="243"/>
      <c r="AY26" s="243"/>
      <c r="AZ26" s="243"/>
      <c r="BA26" s="243"/>
      <c r="BB26" s="243"/>
      <c r="BC26" s="243"/>
      <c r="BD26" s="243"/>
      <c r="BE26" s="243"/>
      <c r="BF26" s="243"/>
      <c r="BG26" s="256"/>
    </row>
    <row r="27" spans="1:59">
      <c r="A27" s="254">
        <v>16</v>
      </c>
      <c r="B27" s="242"/>
      <c r="C27" s="243"/>
      <c r="D27" s="243"/>
      <c r="E27" s="243"/>
      <c r="F27" s="243"/>
      <c r="G27" s="243"/>
      <c r="H27" s="243"/>
      <c r="I27" s="243"/>
      <c r="J27" s="243"/>
      <c r="K27" s="243"/>
      <c r="L27" s="243"/>
      <c r="M27" s="243"/>
      <c r="N27" s="256"/>
      <c r="P27" s="254">
        <v>16</v>
      </c>
      <c r="Q27" s="242"/>
      <c r="R27" s="243"/>
      <c r="S27" s="243"/>
      <c r="T27" s="243"/>
      <c r="U27" s="243"/>
      <c r="V27" s="243"/>
      <c r="W27" s="243"/>
      <c r="X27" s="243"/>
      <c r="Y27" s="243"/>
      <c r="Z27" s="243"/>
      <c r="AA27" s="243"/>
      <c r="AB27" s="243"/>
      <c r="AC27" s="256"/>
      <c r="AE27" s="254">
        <v>16</v>
      </c>
      <c r="AF27" s="242"/>
      <c r="AG27" s="243"/>
      <c r="AH27" s="243"/>
      <c r="AI27" s="243"/>
      <c r="AJ27" s="243"/>
      <c r="AK27" s="243"/>
      <c r="AL27" s="243"/>
      <c r="AM27" s="243"/>
      <c r="AN27" s="243"/>
      <c r="AO27" s="243"/>
      <c r="AP27" s="243"/>
      <c r="AQ27" s="243"/>
      <c r="AR27" s="256"/>
      <c r="AT27" s="254">
        <v>16</v>
      </c>
      <c r="AU27" s="242"/>
      <c r="AV27" s="243"/>
      <c r="AW27" s="243"/>
      <c r="AX27" s="243"/>
      <c r="AY27" s="243"/>
      <c r="AZ27" s="243"/>
      <c r="BA27" s="243"/>
      <c r="BB27" s="243"/>
      <c r="BC27" s="243"/>
      <c r="BD27" s="243"/>
      <c r="BE27" s="243"/>
      <c r="BF27" s="243"/>
      <c r="BG27" s="256"/>
    </row>
    <row r="28" spans="1:59">
      <c r="A28" s="254">
        <v>17</v>
      </c>
      <c r="B28" s="242"/>
      <c r="C28" s="243"/>
      <c r="D28" s="243"/>
      <c r="E28" s="243"/>
      <c r="F28" s="243"/>
      <c r="G28" s="243"/>
      <c r="H28" s="243"/>
      <c r="I28" s="243"/>
      <c r="J28" s="243"/>
      <c r="K28" s="243"/>
      <c r="L28" s="243"/>
      <c r="M28" s="243"/>
      <c r="N28" s="256"/>
      <c r="P28" s="254">
        <v>17</v>
      </c>
      <c r="Q28" s="242"/>
      <c r="R28" s="243"/>
      <c r="S28" s="243"/>
      <c r="T28" s="243"/>
      <c r="U28" s="243"/>
      <c r="V28" s="243"/>
      <c r="W28" s="243"/>
      <c r="X28" s="243"/>
      <c r="Y28" s="243"/>
      <c r="Z28" s="243"/>
      <c r="AA28" s="243"/>
      <c r="AB28" s="243"/>
      <c r="AC28" s="256"/>
      <c r="AE28" s="254">
        <v>17</v>
      </c>
      <c r="AF28" s="242"/>
      <c r="AG28" s="243"/>
      <c r="AH28" s="243"/>
      <c r="AI28" s="243"/>
      <c r="AJ28" s="243"/>
      <c r="AK28" s="243"/>
      <c r="AL28" s="243"/>
      <c r="AM28" s="243"/>
      <c r="AN28" s="243"/>
      <c r="AO28" s="243"/>
      <c r="AP28" s="243"/>
      <c r="AQ28" s="243"/>
      <c r="AR28" s="256"/>
      <c r="AT28" s="254">
        <v>17</v>
      </c>
      <c r="AU28" s="242"/>
      <c r="AV28" s="243"/>
      <c r="AW28" s="243"/>
      <c r="AX28" s="243"/>
      <c r="AY28" s="243"/>
      <c r="AZ28" s="243"/>
      <c r="BA28" s="243"/>
      <c r="BB28" s="243"/>
      <c r="BC28" s="243"/>
      <c r="BD28" s="243"/>
      <c r="BE28" s="243"/>
      <c r="BF28" s="243"/>
      <c r="BG28" s="256"/>
    </row>
    <row r="29" spans="1:59">
      <c r="A29" s="254">
        <v>18</v>
      </c>
      <c r="B29" s="242"/>
      <c r="C29" s="243"/>
      <c r="D29" s="243"/>
      <c r="E29" s="243"/>
      <c r="F29" s="243"/>
      <c r="G29" s="243"/>
      <c r="H29" s="243"/>
      <c r="I29" s="243"/>
      <c r="J29" s="243"/>
      <c r="K29" s="243"/>
      <c r="L29" s="243"/>
      <c r="M29" s="243"/>
      <c r="N29" s="256"/>
      <c r="P29" s="254">
        <v>18</v>
      </c>
      <c r="Q29" s="242"/>
      <c r="R29" s="243"/>
      <c r="S29" s="243"/>
      <c r="T29" s="243"/>
      <c r="U29" s="243"/>
      <c r="V29" s="243"/>
      <c r="W29" s="243"/>
      <c r="X29" s="243"/>
      <c r="Y29" s="243"/>
      <c r="Z29" s="243"/>
      <c r="AA29" s="243"/>
      <c r="AB29" s="243"/>
      <c r="AC29" s="256"/>
      <c r="AE29" s="254">
        <v>18</v>
      </c>
      <c r="AF29" s="242"/>
      <c r="AG29" s="243"/>
      <c r="AH29" s="243"/>
      <c r="AI29" s="243"/>
      <c r="AJ29" s="243"/>
      <c r="AK29" s="243"/>
      <c r="AL29" s="243"/>
      <c r="AM29" s="243"/>
      <c r="AN29" s="243"/>
      <c r="AO29" s="243"/>
      <c r="AP29" s="243"/>
      <c r="AQ29" s="243"/>
      <c r="AR29" s="256"/>
      <c r="AT29" s="254">
        <v>18</v>
      </c>
      <c r="AU29" s="242"/>
      <c r="AV29" s="243"/>
      <c r="AW29" s="243"/>
      <c r="AX29" s="243"/>
      <c r="AY29" s="243"/>
      <c r="AZ29" s="243"/>
      <c r="BA29" s="243"/>
      <c r="BB29" s="243"/>
      <c r="BC29" s="243"/>
      <c r="BD29" s="243"/>
      <c r="BE29" s="243"/>
      <c r="BF29" s="243"/>
      <c r="BG29" s="256"/>
    </row>
    <row r="30" spans="1:59">
      <c r="A30" s="254">
        <v>19</v>
      </c>
      <c r="B30" s="242"/>
      <c r="C30" s="243"/>
      <c r="D30" s="243"/>
      <c r="E30" s="243"/>
      <c r="F30" s="243"/>
      <c r="G30" s="243"/>
      <c r="H30" s="243"/>
      <c r="I30" s="243"/>
      <c r="J30" s="243"/>
      <c r="K30" s="243"/>
      <c r="L30" s="243"/>
      <c r="M30" s="243"/>
      <c r="N30" s="256"/>
      <c r="P30" s="254">
        <v>19</v>
      </c>
      <c r="Q30" s="242"/>
      <c r="R30" s="243"/>
      <c r="S30" s="243"/>
      <c r="T30" s="243"/>
      <c r="U30" s="243"/>
      <c r="V30" s="243"/>
      <c r="W30" s="243"/>
      <c r="X30" s="243"/>
      <c r="Y30" s="243"/>
      <c r="Z30" s="243"/>
      <c r="AA30" s="243"/>
      <c r="AB30" s="243"/>
      <c r="AC30" s="256"/>
      <c r="AE30" s="254">
        <v>19</v>
      </c>
      <c r="AF30" s="242"/>
      <c r="AG30" s="243"/>
      <c r="AH30" s="243"/>
      <c r="AI30" s="243"/>
      <c r="AJ30" s="243"/>
      <c r="AK30" s="243"/>
      <c r="AL30" s="243"/>
      <c r="AM30" s="243"/>
      <c r="AN30" s="243"/>
      <c r="AO30" s="243"/>
      <c r="AP30" s="243"/>
      <c r="AQ30" s="243"/>
      <c r="AR30" s="256"/>
      <c r="AT30" s="254">
        <v>19</v>
      </c>
      <c r="AU30" s="242"/>
      <c r="AV30" s="243"/>
      <c r="AW30" s="243"/>
      <c r="AX30" s="243"/>
      <c r="AY30" s="243"/>
      <c r="AZ30" s="243"/>
      <c r="BA30" s="243"/>
      <c r="BB30" s="243"/>
      <c r="BC30" s="243"/>
      <c r="BD30" s="243"/>
      <c r="BE30" s="243"/>
      <c r="BF30" s="243"/>
      <c r="BG30" s="256"/>
    </row>
    <row r="31" spans="1:59">
      <c r="A31" s="254">
        <v>20</v>
      </c>
      <c r="B31" s="242"/>
      <c r="C31" s="243"/>
      <c r="D31" s="243"/>
      <c r="E31" s="243"/>
      <c r="F31" s="243"/>
      <c r="G31" s="243"/>
      <c r="H31" s="243"/>
      <c r="I31" s="243"/>
      <c r="J31" s="243"/>
      <c r="K31" s="243"/>
      <c r="L31" s="243"/>
      <c r="M31" s="243"/>
      <c r="N31" s="256"/>
      <c r="P31" s="254">
        <v>20</v>
      </c>
      <c r="Q31" s="242"/>
      <c r="R31" s="243"/>
      <c r="S31" s="243"/>
      <c r="T31" s="243"/>
      <c r="U31" s="243"/>
      <c r="V31" s="243"/>
      <c r="W31" s="243"/>
      <c r="X31" s="243"/>
      <c r="Y31" s="243"/>
      <c r="Z31" s="243"/>
      <c r="AA31" s="243"/>
      <c r="AB31" s="243"/>
      <c r="AC31" s="256"/>
      <c r="AE31" s="254">
        <v>20</v>
      </c>
      <c r="AF31" s="242"/>
      <c r="AG31" s="243"/>
      <c r="AH31" s="243"/>
      <c r="AI31" s="243"/>
      <c r="AJ31" s="243"/>
      <c r="AK31" s="243"/>
      <c r="AL31" s="243"/>
      <c r="AM31" s="243"/>
      <c r="AN31" s="243"/>
      <c r="AO31" s="243"/>
      <c r="AP31" s="243"/>
      <c r="AQ31" s="243"/>
      <c r="AR31" s="256"/>
      <c r="AT31" s="254">
        <v>20</v>
      </c>
      <c r="AU31" s="242"/>
      <c r="AV31" s="243"/>
      <c r="AW31" s="243"/>
      <c r="AX31" s="243"/>
      <c r="AY31" s="243"/>
      <c r="AZ31" s="243"/>
      <c r="BA31" s="243"/>
      <c r="BB31" s="243"/>
      <c r="BC31" s="243"/>
      <c r="BD31" s="243"/>
      <c r="BE31" s="243"/>
      <c r="BF31" s="243"/>
      <c r="BG31" s="256"/>
    </row>
    <row r="32" spans="1:59">
      <c r="A32" s="254">
        <v>21</v>
      </c>
      <c r="B32" s="242"/>
      <c r="C32" s="243"/>
      <c r="D32" s="243"/>
      <c r="E32" s="243"/>
      <c r="F32" s="243"/>
      <c r="G32" s="243"/>
      <c r="H32" s="243"/>
      <c r="I32" s="243"/>
      <c r="J32" s="243"/>
      <c r="K32" s="243"/>
      <c r="L32" s="243"/>
      <c r="M32" s="243"/>
      <c r="N32" s="256"/>
      <c r="P32" s="254">
        <v>21</v>
      </c>
      <c r="Q32" s="242"/>
      <c r="R32" s="243"/>
      <c r="S32" s="243"/>
      <c r="T32" s="243"/>
      <c r="U32" s="243"/>
      <c r="V32" s="243"/>
      <c r="W32" s="243"/>
      <c r="X32" s="243"/>
      <c r="Y32" s="243"/>
      <c r="Z32" s="243"/>
      <c r="AA32" s="243"/>
      <c r="AB32" s="243"/>
      <c r="AC32" s="256"/>
      <c r="AE32" s="254">
        <v>21</v>
      </c>
      <c r="AF32" s="242"/>
      <c r="AG32" s="243"/>
      <c r="AH32" s="243"/>
      <c r="AI32" s="243"/>
      <c r="AJ32" s="243"/>
      <c r="AK32" s="243"/>
      <c r="AL32" s="243"/>
      <c r="AM32" s="243"/>
      <c r="AN32" s="243"/>
      <c r="AO32" s="243"/>
      <c r="AP32" s="243"/>
      <c r="AQ32" s="243"/>
      <c r="AR32" s="256"/>
      <c r="AT32" s="254">
        <v>21</v>
      </c>
      <c r="AU32" s="242"/>
      <c r="AV32" s="243"/>
      <c r="AW32" s="243"/>
      <c r="AX32" s="243"/>
      <c r="AY32" s="243"/>
      <c r="AZ32" s="243"/>
      <c r="BA32" s="243"/>
      <c r="BB32" s="243"/>
      <c r="BC32" s="243"/>
      <c r="BD32" s="243"/>
      <c r="BE32" s="243"/>
      <c r="BF32" s="243"/>
      <c r="BG32" s="256"/>
    </row>
    <row r="33" spans="1:59">
      <c r="A33" s="254">
        <v>22</v>
      </c>
      <c r="B33" s="242"/>
      <c r="C33" s="243"/>
      <c r="D33" s="243"/>
      <c r="E33" s="243"/>
      <c r="F33" s="243"/>
      <c r="G33" s="243"/>
      <c r="H33" s="243"/>
      <c r="I33" s="243"/>
      <c r="J33" s="243"/>
      <c r="K33" s="243"/>
      <c r="L33" s="243"/>
      <c r="M33" s="243"/>
      <c r="N33" s="256"/>
      <c r="P33" s="254">
        <v>22</v>
      </c>
      <c r="Q33" s="242"/>
      <c r="R33" s="243"/>
      <c r="S33" s="243"/>
      <c r="T33" s="243"/>
      <c r="U33" s="243"/>
      <c r="V33" s="243"/>
      <c r="W33" s="243"/>
      <c r="X33" s="243"/>
      <c r="Y33" s="243"/>
      <c r="Z33" s="243"/>
      <c r="AA33" s="243"/>
      <c r="AB33" s="243"/>
      <c r="AC33" s="256"/>
      <c r="AE33" s="254">
        <v>22</v>
      </c>
      <c r="AF33" s="242"/>
      <c r="AG33" s="243"/>
      <c r="AH33" s="243"/>
      <c r="AI33" s="243"/>
      <c r="AJ33" s="243"/>
      <c r="AK33" s="243"/>
      <c r="AL33" s="243"/>
      <c r="AM33" s="243"/>
      <c r="AN33" s="243"/>
      <c r="AO33" s="243"/>
      <c r="AP33" s="243"/>
      <c r="AQ33" s="243"/>
      <c r="AR33" s="256"/>
      <c r="AT33" s="254">
        <v>22</v>
      </c>
      <c r="AU33" s="242"/>
      <c r="AV33" s="243"/>
      <c r="AW33" s="243"/>
      <c r="AX33" s="243"/>
      <c r="AY33" s="243"/>
      <c r="AZ33" s="243"/>
      <c r="BA33" s="243"/>
      <c r="BB33" s="243"/>
      <c r="BC33" s="243"/>
      <c r="BD33" s="243"/>
      <c r="BE33" s="243"/>
      <c r="BF33" s="243"/>
      <c r="BG33" s="256"/>
    </row>
    <row r="34" spans="1:59">
      <c r="A34" s="254">
        <v>23</v>
      </c>
      <c r="B34" s="242"/>
      <c r="C34" s="243"/>
      <c r="D34" s="243"/>
      <c r="E34" s="243"/>
      <c r="F34" s="243"/>
      <c r="G34" s="243"/>
      <c r="H34" s="243"/>
      <c r="I34" s="243"/>
      <c r="J34" s="243"/>
      <c r="K34" s="243"/>
      <c r="L34" s="243"/>
      <c r="M34" s="243"/>
      <c r="N34" s="256"/>
      <c r="P34" s="254">
        <v>23</v>
      </c>
      <c r="Q34" s="242"/>
      <c r="R34" s="243"/>
      <c r="S34" s="243"/>
      <c r="T34" s="243"/>
      <c r="U34" s="243"/>
      <c r="V34" s="243"/>
      <c r="W34" s="243"/>
      <c r="X34" s="243"/>
      <c r="Y34" s="243"/>
      <c r="Z34" s="243"/>
      <c r="AA34" s="243"/>
      <c r="AB34" s="243"/>
      <c r="AC34" s="256"/>
      <c r="AE34" s="254">
        <v>23</v>
      </c>
      <c r="AF34" s="242"/>
      <c r="AG34" s="243"/>
      <c r="AH34" s="243"/>
      <c r="AI34" s="243"/>
      <c r="AJ34" s="243"/>
      <c r="AK34" s="243"/>
      <c r="AL34" s="243"/>
      <c r="AM34" s="243"/>
      <c r="AN34" s="243"/>
      <c r="AO34" s="243"/>
      <c r="AP34" s="243"/>
      <c r="AQ34" s="243"/>
      <c r="AR34" s="256"/>
      <c r="AT34" s="254">
        <v>23</v>
      </c>
      <c r="AU34" s="242"/>
      <c r="AV34" s="243"/>
      <c r="AW34" s="243"/>
      <c r="AX34" s="243"/>
      <c r="AY34" s="243"/>
      <c r="AZ34" s="243"/>
      <c r="BA34" s="243"/>
      <c r="BB34" s="243"/>
      <c r="BC34" s="243"/>
      <c r="BD34" s="243"/>
      <c r="BE34" s="243"/>
      <c r="BF34" s="243"/>
      <c r="BG34" s="256"/>
    </row>
    <row r="35" spans="1:59">
      <c r="A35" s="254">
        <v>24</v>
      </c>
      <c r="B35" s="242"/>
      <c r="C35" s="243"/>
      <c r="D35" s="243"/>
      <c r="E35" s="243"/>
      <c r="F35" s="243"/>
      <c r="G35" s="243"/>
      <c r="H35" s="243"/>
      <c r="I35" s="243"/>
      <c r="J35" s="243"/>
      <c r="K35" s="243"/>
      <c r="L35" s="243"/>
      <c r="M35" s="243"/>
      <c r="N35" s="256"/>
      <c r="P35" s="254">
        <v>24</v>
      </c>
      <c r="Q35" s="242"/>
      <c r="R35" s="243"/>
      <c r="S35" s="243"/>
      <c r="T35" s="243"/>
      <c r="U35" s="243"/>
      <c r="V35" s="243"/>
      <c r="W35" s="243"/>
      <c r="X35" s="243"/>
      <c r="Y35" s="243"/>
      <c r="Z35" s="243"/>
      <c r="AA35" s="243"/>
      <c r="AB35" s="243"/>
      <c r="AC35" s="256"/>
      <c r="AE35" s="254">
        <v>24</v>
      </c>
      <c r="AF35" s="242"/>
      <c r="AG35" s="243"/>
      <c r="AH35" s="243"/>
      <c r="AI35" s="243"/>
      <c r="AJ35" s="243"/>
      <c r="AK35" s="243"/>
      <c r="AL35" s="243"/>
      <c r="AM35" s="243"/>
      <c r="AN35" s="243"/>
      <c r="AO35" s="243"/>
      <c r="AP35" s="243"/>
      <c r="AQ35" s="243"/>
      <c r="AR35" s="256"/>
      <c r="AT35" s="254">
        <v>24</v>
      </c>
      <c r="AU35" s="242"/>
      <c r="AV35" s="243"/>
      <c r="AW35" s="243"/>
      <c r="AX35" s="243"/>
      <c r="AY35" s="243"/>
      <c r="AZ35" s="243"/>
      <c r="BA35" s="243"/>
      <c r="BB35" s="243"/>
      <c r="BC35" s="243"/>
      <c r="BD35" s="243"/>
      <c r="BE35" s="243"/>
      <c r="BF35" s="243"/>
      <c r="BG35" s="256"/>
    </row>
    <row r="36" spans="1:59">
      <c r="A36" s="254">
        <v>25</v>
      </c>
      <c r="B36" s="242"/>
      <c r="C36" s="243"/>
      <c r="D36" s="243"/>
      <c r="E36" s="243"/>
      <c r="F36" s="243"/>
      <c r="G36" s="243"/>
      <c r="H36" s="243"/>
      <c r="I36" s="243"/>
      <c r="J36" s="243"/>
      <c r="K36" s="243"/>
      <c r="L36" s="243"/>
      <c r="M36" s="243"/>
      <c r="N36" s="256"/>
      <c r="P36" s="254">
        <v>25</v>
      </c>
      <c r="Q36" s="242"/>
      <c r="R36" s="243"/>
      <c r="S36" s="243"/>
      <c r="T36" s="243"/>
      <c r="U36" s="243"/>
      <c r="V36" s="243"/>
      <c r="W36" s="243"/>
      <c r="X36" s="243"/>
      <c r="Y36" s="243"/>
      <c r="Z36" s="243"/>
      <c r="AA36" s="243"/>
      <c r="AB36" s="243"/>
      <c r="AC36" s="256"/>
      <c r="AE36" s="254">
        <v>25</v>
      </c>
      <c r="AF36" s="242"/>
      <c r="AG36" s="243"/>
      <c r="AH36" s="243"/>
      <c r="AI36" s="243"/>
      <c r="AJ36" s="243"/>
      <c r="AK36" s="243"/>
      <c r="AL36" s="243"/>
      <c r="AM36" s="243"/>
      <c r="AN36" s="243"/>
      <c r="AO36" s="243"/>
      <c r="AP36" s="243"/>
      <c r="AQ36" s="243"/>
      <c r="AR36" s="256"/>
      <c r="AT36" s="254">
        <v>25</v>
      </c>
      <c r="AU36" s="242"/>
      <c r="AV36" s="243"/>
      <c r="AW36" s="243"/>
      <c r="AX36" s="243"/>
      <c r="AY36" s="243"/>
      <c r="AZ36" s="243"/>
      <c r="BA36" s="243"/>
      <c r="BB36" s="243"/>
      <c r="BC36" s="243"/>
      <c r="BD36" s="243"/>
      <c r="BE36" s="243"/>
      <c r="BF36" s="243"/>
      <c r="BG36" s="256"/>
    </row>
    <row r="37" spans="1:59">
      <c r="A37" s="254">
        <v>26</v>
      </c>
      <c r="B37" s="242"/>
      <c r="C37" s="243"/>
      <c r="D37" s="243"/>
      <c r="E37" s="243"/>
      <c r="F37" s="243"/>
      <c r="G37" s="243"/>
      <c r="H37" s="243"/>
      <c r="I37" s="243"/>
      <c r="J37" s="243"/>
      <c r="K37" s="243"/>
      <c r="L37" s="243"/>
      <c r="M37" s="243"/>
      <c r="N37" s="256"/>
      <c r="P37" s="254">
        <v>26</v>
      </c>
      <c r="Q37" s="242"/>
      <c r="R37" s="243"/>
      <c r="S37" s="243"/>
      <c r="T37" s="243"/>
      <c r="U37" s="243"/>
      <c r="V37" s="243"/>
      <c r="W37" s="243"/>
      <c r="X37" s="243"/>
      <c r="Y37" s="243"/>
      <c r="Z37" s="243"/>
      <c r="AA37" s="243"/>
      <c r="AB37" s="243"/>
      <c r="AC37" s="256"/>
      <c r="AE37" s="254">
        <v>26</v>
      </c>
      <c r="AF37" s="242"/>
      <c r="AG37" s="243"/>
      <c r="AH37" s="243"/>
      <c r="AI37" s="243"/>
      <c r="AJ37" s="243"/>
      <c r="AK37" s="243"/>
      <c r="AL37" s="243"/>
      <c r="AM37" s="243"/>
      <c r="AN37" s="243"/>
      <c r="AO37" s="243"/>
      <c r="AP37" s="243"/>
      <c r="AQ37" s="243"/>
      <c r="AR37" s="256"/>
      <c r="AT37" s="254">
        <v>26</v>
      </c>
      <c r="AU37" s="242"/>
      <c r="AV37" s="243"/>
      <c r="AW37" s="243"/>
      <c r="AX37" s="243"/>
      <c r="AY37" s="243"/>
      <c r="AZ37" s="243"/>
      <c r="BA37" s="243"/>
      <c r="BB37" s="243"/>
      <c r="BC37" s="243"/>
      <c r="BD37" s="243"/>
      <c r="BE37" s="243"/>
      <c r="BF37" s="243"/>
      <c r="BG37" s="256"/>
    </row>
    <row r="38" spans="1:59">
      <c r="A38" s="254">
        <v>27</v>
      </c>
      <c r="B38" s="242"/>
      <c r="C38" s="243"/>
      <c r="D38" s="243"/>
      <c r="E38" s="243"/>
      <c r="F38" s="243"/>
      <c r="G38" s="243"/>
      <c r="H38" s="243"/>
      <c r="I38" s="243"/>
      <c r="J38" s="243"/>
      <c r="K38" s="243"/>
      <c r="L38" s="243"/>
      <c r="M38" s="243"/>
      <c r="N38" s="256"/>
      <c r="P38" s="254">
        <v>27</v>
      </c>
      <c r="Q38" s="242"/>
      <c r="R38" s="243"/>
      <c r="S38" s="243"/>
      <c r="T38" s="243"/>
      <c r="U38" s="243"/>
      <c r="V38" s="243"/>
      <c r="W38" s="243"/>
      <c r="X38" s="243"/>
      <c r="Y38" s="243"/>
      <c r="Z38" s="243"/>
      <c r="AA38" s="243"/>
      <c r="AB38" s="243"/>
      <c r="AC38" s="256"/>
      <c r="AE38" s="254">
        <v>27</v>
      </c>
      <c r="AF38" s="242"/>
      <c r="AG38" s="243"/>
      <c r="AH38" s="243"/>
      <c r="AI38" s="243"/>
      <c r="AJ38" s="243"/>
      <c r="AK38" s="243"/>
      <c r="AL38" s="243"/>
      <c r="AM38" s="243"/>
      <c r="AN38" s="243"/>
      <c r="AO38" s="243"/>
      <c r="AP38" s="243"/>
      <c r="AQ38" s="243"/>
      <c r="AR38" s="256"/>
      <c r="AT38" s="254">
        <v>27</v>
      </c>
      <c r="AU38" s="242"/>
      <c r="AV38" s="243"/>
      <c r="AW38" s="243"/>
      <c r="AX38" s="243"/>
      <c r="AY38" s="243"/>
      <c r="AZ38" s="243"/>
      <c r="BA38" s="243"/>
      <c r="BB38" s="243"/>
      <c r="BC38" s="243"/>
      <c r="BD38" s="243"/>
      <c r="BE38" s="243"/>
      <c r="BF38" s="243"/>
      <c r="BG38" s="256"/>
    </row>
    <row r="39" spans="1:59">
      <c r="A39" s="254">
        <v>28</v>
      </c>
      <c r="B39" s="242"/>
      <c r="C39" s="243"/>
      <c r="D39" s="243"/>
      <c r="E39" s="243"/>
      <c r="F39" s="243"/>
      <c r="G39" s="243"/>
      <c r="H39" s="243"/>
      <c r="I39" s="243"/>
      <c r="J39" s="243"/>
      <c r="K39" s="243"/>
      <c r="L39" s="243"/>
      <c r="M39" s="243"/>
      <c r="N39" s="256"/>
      <c r="P39" s="254">
        <v>28</v>
      </c>
      <c r="Q39" s="242"/>
      <c r="R39" s="243"/>
      <c r="S39" s="243"/>
      <c r="T39" s="243"/>
      <c r="U39" s="243"/>
      <c r="V39" s="243"/>
      <c r="W39" s="243"/>
      <c r="X39" s="243"/>
      <c r="Y39" s="243"/>
      <c r="Z39" s="243"/>
      <c r="AA39" s="243"/>
      <c r="AB39" s="243"/>
      <c r="AC39" s="256"/>
      <c r="AE39" s="254">
        <v>28</v>
      </c>
      <c r="AF39" s="242"/>
      <c r="AG39" s="243"/>
      <c r="AH39" s="243"/>
      <c r="AI39" s="243"/>
      <c r="AJ39" s="243"/>
      <c r="AK39" s="243"/>
      <c r="AL39" s="243"/>
      <c r="AM39" s="243"/>
      <c r="AN39" s="243"/>
      <c r="AO39" s="243"/>
      <c r="AP39" s="243"/>
      <c r="AQ39" s="243"/>
      <c r="AR39" s="256"/>
      <c r="AT39" s="254">
        <v>28</v>
      </c>
      <c r="AU39" s="242"/>
      <c r="AV39" s="243"/>
      <c r="AW39" s="243"/>
      <c r="AX39" s="243"/>
      <c r="AY39" s="243"/>
      <c r="AZ39" s="243"/>
      <c r="BA39" s="243"/>
      <c r="BB39" s="243"/>
      <c r="BC39" s="243"/>
      <c r="BD39" s="243"/>
      <c r="BE39" s="243"/>
      <c r="BF39" s="243"/>
      <c r="BG39" s="256"/>
    </row>
    <row r="40" spans="1:59">
      <c r="A40" s="254">
        <v>29</v>
      </c>
      <c r="B40" s="242"/>
      <c r="C40" s="243"/>
      <c r="D40" s="243"/>
      <c r="E40" s="243"/>
      <c r="F40" s="243"/>
      <c r="G40" s="243"/>
      <c r="H40" s="243"/>
      <c r="I40" s="243"/>
      <c r="J40" s="243"/>
      <c r="K40" s="243"/>
      <c r="L40" s="243"/>
      <c r="M40" s="243"/>
      <c r="N40" s="256"/>
      <c r="P40" s="254">
        <v>29</v>
      </c>
      <c r="Q40" s="242"/>
      <c r="R40" s="243"/>
      <c r="S40" s="243"/>
      <c r="T40" s="243"/>
      <c r="U40" s="243"/>
      <c r="V40" s="243"/>
      <c r="W40" s="243"/>
      <c r="X40" s="243"/>
      <c r="Y40" s="243"/>
      <c r="Z40" s="243"/>
      <c r="AA40" s="243"/>
      <c r="AB40" s="243"/>
      <c r="AC40" s="256"/>
      <c r="AE40" s="254">
        <v>29</v>
      </c>
      <c r="AF40" s="242"/>
      <c r="AG40" s="243"/>
      <c r="AH40" s="243"/>
      <c r="AI40" s="243"/>
      <c r="AJ40" s="243"/>
      <c r="AK40" s="243"/>
      <c r="AL40" s="243"/>
      <c r="AM40" s="243"/>
      <c r="AN40" s="243"/>
      <c r="AO40" s="243"/>
      <c r="AP40" s="243"/>
      <c r="AQ40" s="243"/>
      <c r="AR40" s="256"/>
      <c r="AT40" s="254">
        <v>29</v>
      </c>
      <c r="AU40" s="242"/>
      <c r="AV40" s="243"/>
      <c r="AW40" s="243"/>
      <c r="AX40" s="243"/>
      <c r="AY40" s="243"/>
      <c r="AZ40" s="243"/>
      <c r="BA40" s="243"/>
      <c r="BB40" s="243"/>
      <c r="BC40" s="243"/>
      <c r="BD40" s="243"/>
      <c r="BE40" s="243"/>
      <c r="BF40" s="243"/>
      <c r="BG40" s="256"/>
    </row>
    <row r="41" spans="1:59">
      <c r="A41" s="254">
        <v>30</v>
      </c>
      <c r="B41" s="242"/>
      <c r="C41" s="243"/>
      <c r="D41" s="243"/>
      <c r="E41" s="243"/>
      <c r="F41" s="243"/>
      <c r="G41" s="243"/>
      <c r="H41" s="243"/>
      <c r="I41" s="243"/>
      <c r="J41" s="243"/>
      <c r="K41" s="243"/>
      <c r="L41" s="243"/>
      <c r="M41" s="243"/>
      <c r="N41" s="256"/>
      <c r="P41" s="254">
        <v>30</v>
      </c>
      <c r="Q41" s="242"/>
      <c r="R41" s="243"/>
      <c r="S41" s="243"/>
      <c r="T41" s="243"/>
      <c r="U41" s="243"/>
      <c r="V41" s="243"/>
      <c r="W41" s="243"/>
      <c r="X41" s="243"/>
      <c r="Y41" s="243"/>
      <c r="Z41" s="243"/>
      <c r="AA41" s="243"/>
      <c r="AB41" s="243"/>
      <c r="AC41" s="256"/>
      <c r="AE41" s="254">
        <v>30</v>
      </c>
      <c r="AF41" s="242"/>
      <c r="AG41" s="243"/>
      <c r="AH41" s="243"/>
      <c r="AI41" s="243"/>
      <c r="AJ41" s="243"/>
      <c r="AK41" s="243"/>
      <c r="AL41" s="243"/>
      <c r="AM41" s="243"/>
      <c r="AN41" s="243"/>
      <c r="AO41" s="243"/>
      <c r="AP41" s="243"/>
      <c r="AQ41" s="243"/>
      <c r="AR41" s="256"/>
      <c r="AT41" s="254">
        <v>30</v>
      </c>
      <c r="AU41" s="242"/>
      <c r="AV41" s="243"/>
      <c r="AW41" s="243"/>
      <c r="AX41" s="243"/>
      <c r="AY41" s="243"/>
      <c r="AZ41" s="243"/>
      <c r="BA41" s="243"/>
      <c r="BB41" s="243"/>
      <c r="BC41" s="243"/>
      <c r="BD41" s="243"/>
      <c r="BE41" s="243"/>
      <c r="BF41" s="243"/>
      <c r="BG41" s="256"/>
    </row>
    <row r="42" spans="1:59">
      <c r="A42" s="254">
        <v>31</v>
      </c>
      <c r="B42" s="242"/>
      <c r="C42" s="243"/>
      <c r="D42" s="243"/>
      <c r="E42" s="243"/>
      <c r="F42" s="243"/>
      <c r="G42" s="243"/>
      <c r="H42" s="243"/>
      <c r="I42" s="243"/>
      <c r="J42" s="243"/>
      <c r="K42" s="243"/>
      <c r="L42" s="243"/>
      <c r="M42" s="243"/>
      <c r="N42" s="256"/>
      <c r="P42" s="254">
        <v>31</v>
      </c>
      <c r="Q42" s="242"/>
      <c r="R42" s="243"/>
      <c r="S42" s="243"/>
      <c r="T42" s="243"/>
      <c r="U42" s="243"/>
      <c r="V42" s="243"/>
      <c r="W42" s="243"/>
      <c r="X42" s="243"/>
      <c r="Y42" s="243"/>
      <c r="Z42" s="243"/>
      <c r="AA42" s="243"/>
      <c r="AB42" s="243"/>
      <c r="AC42" s="256"/>
      <c r="AE42" s="254">
        <v>31</v>
      </c>
      <c r="AF42" s="242"/>
      <c r="AG42" s="243"/>
      <c r="AH42" s="243"/>
      <c r="AI42" s="243"/>
      <c r="AJ42" s="243"/>
      <c r="AK42" s="243"/>
      <c r="AL42" s="243"/>
      <c r="AM42" s="243"/>
      <c r="AN42" s="243"/>
      <c r="AO42" s="243"/>
      <c r="AP42" s="243"/>
      <c r="AQ42" s="243"/>
      <c r="AR42" s="256"/>
      <c r="AT42" s="254">
        <v>31</v>
      </c>
      <c r="AU42" s="242"/>
      <c r="AV42" s="243"/>
      <c r="AW42" s="243"/>
      <c r="AX42" s="243"/>
      <c r="AY42" s="243"/>
      <c r="AZ42" s="243"/>
      <c r="BA42" s="243"/>
      <c r="BB42" s="243"/>
      <c r="BC42" s="243"/>
      <c r="BD42" s="243"/>
      <c r="BE42" s="243"/>
      <c r="BF42" s="243"/>
      <c r="BG42" s="256"/>
    </row>
    <row r="43" spans="1:59">
      <c r="A43" s="254">
        <v>32</v>
      </c>
      <c r="B43" s="242"/>
      <c r="C43" s="243"/>
      <c r="D43" s="243"/>
      <c r="E43" s="243"/>
      <c r="F43" s="243"/>
      <c r="G43" s="243"/>
      <c r="H43" s="243"/>
      <c r="I43" s="243"/>
      <c r="J43" s="243"/>
      <c r="K43" s="243"/>
      <c r="L43" s="243"/>
      <c r="M43" s="243"/>
      <c r="N43" s="256"/>
      <c r="P43" s="254">
        <v>32</v>
      </c>
      <c r="Q43" s="242"/>
      <c r="R43" s="243"/>
      <c r="S43" s="243"/>
      <c r="T43" s="243"/>
      <c r="U43" s="243"/>
      <c r="V43" s="243"/>
      <c r="W43" s="243"/>
      <c r="X43" s="243"/>
      <c r="Y43" s="243"/>
      <c r="Z43" s="243"/>
      <c r="AA43" s="243"/>
      <c r="AB43" s="243"/>
      <c r="AC43" s="256"/>
      <c r="AE43" s="254">
        <v>32</v>
      </c>
      <c r="AF43" s="242"/>
      <c r="AG43" s="243"/>
      <c r="AH43" s="243"/>
      <c r="AI43" s="243"/>
      <c r="AJ43" s="243"/>
      <c r="AK43" s="243"/>
      <c r="AL43" s="243"/>
      <c r="AM43" s="243"/>
      <c r="AN43" s="243"/>
      <c r="AO43" s="243"/>
      <c r="AP43" s="243"/>
      <c r="AQ43" s="243"/>
      <c r="AR43" s="256"/>
      <c r="AT43" s="254">
        <v>32</v>
      </c>
      <c r="AU43" s="242"/>
      <c r="AV43" s="243"/>
      <c r="AW43" s="243"/>
      <c r="AX43" s="243"/>
      <c r="AY43" s="243"/>
      <c r="AZ43" s="243"/>
      <c r="BA43" s="243"/>
      <c r="BB43" s="243"/>
      <c r="BC43" s="243"/>
      <c r="BD43" s="243"/>
      <c r="BE43" s="243"/>
      <c r="BF43" s="243"/>
      <c r="BG43" s="256"/>
    </row>
    <row r="44" spans="1:59">
      <c r="A44" s="254">
        <v>33</v>
      </c>
      <c r="B44" s="242"/>
      <c r="C44" s="243"/>
      <c r="D44" s="243"/>
      <c r="E44" s="243"/>
      <c r="F44" s="243"/>
      <c r="G44" s="243"/>
      <c r="H44" s="243"/>
      <c r="I44" s="243"/>
      <c r="J44" s="243"/>
      <c r="K44" s="243"/>
      <c r="L44" s="243"/>
      <c r="M44" s="243"/>
      <c r="N44" s="256"/>
      <c r="P44" s="254">
        <v>33</v>
      </c>
      <c r="Q44" s="242"/>
      <c r="R44" s="243"/>
      <c r="S44" s="243"/>
      <c r="T44" s="243"/>
      <c r="U44" s="243"/>
      <c r="V44" s="243"/>
      <c r="W44" s="243"/>
      <c r="X44" s="243"/>
      <c r="Y44" s="243"/>
      <c r="Z44" s="243"/>
      <c r="AA44" s="243"/>
      <c r="AB44" s="243"/>
      <c r="AC44" s="256"/>
      <c r="AE44" s="254">
        <v>33</v>
      </c>
      <c r="AF44" s="242"/>
      <c r="AG44" s="243"/>
      <c r="AH44" s="243"/>
      <c r="AI44" s="243"/>
      <c r="AJ44" s="243"/>
      <c r="AK44" s="243"/>
      <c r="AL44" s="243"/>
      <c r="AM44" s="243"/>
      <c r="AN44" s="243"/>
      <c r="AO44" s="243"/>
      <c r="AP44" s="243"/>
      <c r="AQ44" s="243"/>
      <c r="AR44" s="256"/>
      <c r="AT44" s="254">
        <v>33</v>
      </c>
      <c r="AU44" s="242"/>
      <c r="AV44" s="243"/>
      <c r="AW44" s="243"/>
      <c r="AX44" s="243"/>
      <c r="AY44" s="243"/>
      <c r="AZ44" s="243"/>
      <c r="BA44" s="243"/>
      <c r="BB44" s="243"/>
      <c r="BC44" s="243"/>
      <c r="BD44" s="243"/>
      <c r="BE44" s="243"/>
      <c r="BF44" s="243"/>
      <c r="BG44" s="256"/>
    </row>
    <row r="45" spans="1:59">
      <c r="A45" s="254">
        <v>34</v>
      </c>
      <c r="B45" s="242"/>
      <c r="C45" s="243"/>
      <c r="D45" s="243"/>
      <c r="E45" s="243"/>
      <c r="F45" s="243"/>
      <c r="G45" s="243"/>
      <c r="H45" s="243"/>
      <c r="I45" s="243"/>
      <c r="J45" s="243"/>
      <c r="K45" s="243"/>
      <c r="L45" s="243"/>
      <c r="M45" s="243"/>
      <c r="N45" s="256"/>
      <c r="P45" s="254">
        <v>34</v>
      </c>
      <c r="Q45" s="242"/>
      <c r="R45" s="243"/>
      <c r="S45" s="243"/>
      <c r="T45" s="243"/>
      <c r="U45" s="243"/>
      <c r="V45" s="243"/>
      <c r="W45" s="243"/>
      <c r="X45" s="243"/>
      <c r="Y45" s="243"/>
      <c r="Z45" s="243"/>
      <c r="AA45" s="243"/>
      <c r="AB45" s="243"/>
      <c r="AC45" s="256"/>
      <c r="AE45" s="254">
        <v>34</v>
      </c>
      <c r="AF45" s="242"/>
      <c r="AG45" s="243"/>
      <c r="AH45" s="243"/>
      <c r="AI45" s="243"/>
      <c r="AJ45" s="243"/>
      <c r="AK45" s="243"/>
      <c r="AL45" s="243"/>
      <c r="AM45" s="243"/>
      <c r="AN45" s="243"/>
      <c r="AO45" s="243"/>
      <c r="AP45" s="243"/>
      <c r="AQ45" s="243"/>
      <c r="AR45" s="256"/>
      <c r="AT45" s="254">
        <v>34</v>
      </c>
      <c r="AU45" s="242"/>
      <c r="AV45" s="243"/>
      <c r="AW45" s="243"/>
      <c r="AX45" s="243"/>
      <c r="AY45" s="243"/>
      <c r="AZ45" s="243"/>
      <c r="BA45" s="243"/>
      <c r="BB45" s="243"/>
      <c r="BC45" s="243"/>
      <c r="BD45" s="243"/>
      <c r="BE45" s="243"/>
      <c r="BF45" s="243"/>
      <c r="BG45" s="256"/>
    </row>
    <row r="46" spans="1:59">
      <c r="A46" s="254">
        <v>35</v>
      </c>
      <c r="B46" s="242"/>
      <c r="C46" s="243"/>
      <c r="D46" s="243"/>
      <c r="E46" s="243"/>
      <c r="F46" s="243"/>
      <c r="G46" s="243"/>
      <c r="H46" s="243"/>
      <c r="I46" s="243"/>
      <c r="J46" s="243"/>
      <c r="K46" s="243"/>
      <c r="L46" s="243"/>
      <c r="M46" s="243"/>
      <c r="N46" s="256"/>
      <c r="P46" s="254">
        <v>35</v>
      </c>
      <c r="Q46" s="242"/>
      <c r="R46" s="243"/>
      <c r="S46" s="243"/>
      <c r="T46" s="243"/>
      <c r="U46" s="243"/>
      <c r="V46" s="243"/>
      <c r="W46" s="243"/>
      <c r="X46" s="243"/>
      <c r="Y46" s="243"/>
      <c r="Z46" s="243"/>
      <c r="AA46" s="243"/>
      <c r="AB46" s="243"/>
      <c r="AC46" s="256"/>
      <c r="AE46" s="254">
        <v>35</v>
      </c>
      <c r="AF46" s="242"/>
      <c r="AG46" s="243"/>
      <c r="AH46" s="243"/>
      <c r="AI46" s="243"/>
      <c r="AJ46" s="243"/>
      <c r="AK46" s="243"/>
      <c r="AL46" s="243"/>
      <c r="AM46" s="243"/>
      <c r="AN46" s="243"/>
      <c r="AO46" s="243"/>
      <c r="AP46" s="243"/>
      <c r="AQ46" s="243"/>
      <c r="AR46" s="256"/>
      <c r="AT46" s="254">
        <v>35</v>
      </c>
      <c r="AU46" s="242"/>
      <c r="AV46" s="243"/>
      <c r="AW46" s="243"/>
      <c r="AX46" s="243"/>
      <c r="AY46" s="243"/>
      <c r="AZ46" s="243"/>
      <c r="BA46" s="243"/>
      <c r="BB46" s="243"/>
      <c r="BC46" s="243"/>
      <c r="BD46" s="243"/>
      <c r="BE46" s="243"/>
      <c r="BF46" s="243"/>
      <c r="BG46" s="256"/>
    </row>
    <row r="47" spans="1:59">
      <c r="A47" s="254">
        <v>36</v>
      </c>
      <c r="B47" s="242"/>
      <c r="C47" s="243"/>
      <c r="D47" s="243"/>
      <c r="E47" s="243"/>
      <c r="F47" s="243"/>
      <c r="G47" s="243"/>
      <c r="H47" s="243"/>
      <c r="I47" s="243"/>
      <c r="J47" s="243"/>
      <c r="K47" s="243"/>
      <c r="L47" s="243"/>
      <c r="M47" s="243"/>
      <c r="N47" s="256"/>
      <c r="P47" s="254">
        <v>36</v>
      </c>
      <c r="Q47" s="242"/>
      <c r="R47" s="243"/>
      <c r="S47" s="243"/>
      <c r="T47" s="243"/>
      <c r="U47" s="243"/>
      <c r="V47" s="243"/>
      <c r="W47" s="243"/>
      <c r="X47" s="243"/>
      <c r="Y47" s="243"/>
      <c r="Z47" s="243"/>
      <c r="AA47" s="243"/>
      <c r="AB47" s="243"/>
      <c r="AC47" s="256"/>
      <c r="AE47" s="254">
        <v>36</v>
      </c>
      <c r="AF47" s="242"/>
      <c r="AG47" s="243"/>
      <c r="AH47" s="243"/>
      <c r="AI47" s="243"/>
      <c r="AJ47" s="243"/>
      <c r="AK47" s="243"/>
      <c r="AL47" s="243"/>
      <c r="AM47" s="243"/>
      <c r="AN47" s="243"/>
      <c r="AO47" s="243"/>
      <c r="AP47" s="243"/>
      <c r="AQ47" s="243"/>
      <c r="AR47" s="256"/>
      <c r="AT47" s="254">
        <v>36</v>
      </c>
      <c r="AU47" s="242"/>
      <c r="AV47" s="243"/>
      <c r="AW47" s="243"/>
      <c r="AX47" s="243"/>
      <c r="AY47" s="243"/>
      <c r="AZ47" s="243"/>
      <c r="BA47" s="243"/>
      <c r="BB47" s="243"/>
      <c r="BC47" s="243"/>
      <c r="BD47" s="243"/>
      <c r="BE47" s="243"/>
      <c r="BF47" s="243"/>
      <c r="BG47" s="256"/>
    </row>
    <row r="48" spans="1:59">
      <c r="A48" s="254">
        <v>37</v>
      </c>
      <c r="B48" s="242"/>
      <c r="C48" s="243"/>
      <c r="D48" s="243"/>
      <c r="E48" s="243"/>
      <c r="F48" s="243"/>
      <c r="G48" s="243"/>
      <c r="H48" s="243"/>
      <c r="I48" s="243"/>
      <c r="J48" s="243"/>
      <c r="K48" s="243"/>
      <c r="L48" s="243"/>
      <c r="M48" s="243"/>
      <c r="N48" s="256"/>
      <c r="P48" s="254">
        <v>37</v>
      </c>
      <c r="Q48" s="242"/>
      <c r="R48" s="243"/>
      <c r="S48" s="243"/>
      <c r="T48" s="243"/>
      <c r="U48" s="243"/>
      <c r="V48" s="243"/>
      <c r="W48" s="243"/>
      <c r="X48" s="243"/>
      <c r="Y48" s="243"/>
      <c r="Z48" s="243"/>
      <c r="AA48" s="243"/>
      <c r="AB48" s="243"/>
      <c r="AC48" s="256"/>
      <c r="AE48" s="254">
        <v>37</v>
      </c>
      <c r="AF48" s="242"/>
      <c r="AG48" s="243"/>
      <c r="AH48" s="243"/>
      <c r="AI48" s="243"/>
      <c r="AJ48" s="243"/>
      <c r="AK48" s="243"/>
      <c r="AL48" s="243"/>
      <c r="AM48" s="243"/>
      <c r="AN48" s="243"/>
      <c r="AO48" s="243"/>
      <c r="AP48" s="243"/>
      <c r="AQ48" s="243"/>
      <c r="AR48" s="256"/>
      <c r="AT48" s="254">
        <v>37</v>
      </c>
      <c r="AU48" s="242"/>
      <c r="AV48" s="243"/>
      <c r="AW48" s="243"/>
      <c r="AX48" s="243"/>
      <c r="AY48" s="243"/>
      <c r="AZ48" s="243"/>
      <c r="BA48" s="243"/>
      <c r="BB48" s="243"/>
      <c r="BC48" s="243"/>
      <c r="BD48" s="243"/>
      <c r="BE48" s="243"/>
      <c r="BF48" s="243"/>
      <c r="BG48" s="256"/>
    </row>
    <row r="49" spans="1:59">
      <c r="A49" s="254">
        <v>38</v>
      </c>
      <c r="B49" s="242"/>
      <c r="C49" s="243"/>
      <c r="D49" s="243"/>
      <c r="E49" s="243"/>
      <c r="F49" s="243"/>
      <c r="G49" s="243"/>
      <c r="H49" s="243"/>
      <c r="I49" s="243"/>
      <c r="J49" s="243"/>
      <c r="K49" s="243"/>
      <c r="L49" s="243"/>
      <c r="M49" s="243"/>
      <c r="N49" s="256"/>
      <c r="P49" s="254">
        <v>38</v>
      </c>
      <c r="Q49" s="242"/>
      <c r="R49" s="243"/>
      <c r="S49" s="243"/>
      <c r="T49" s="243"/>
      <c r="U49" s="243"/>
      <c r="V49" s="243"/>
      <c r="W49" s="243"/>
      <c r="X49" s="243"/>
      <c r="Y49" s="243"/>
      <c r="Z49" s="243"/>
      <c r="AA49" s="243"/>
      <c r="AB49" s="243"/>
      <c r="AC49" s="256"/>
      <c r="AE49" s="254">
        <v>38</v>
      </c>
      <c r="AF49" s="242"/>
      <c r="AG49" s="243"/>
      <c r="AH49" s="243"/>
      <c r="AI49" s="243"/>
      <c r="AJ49" s="243"/>
      <c r="AK49" s="243"/>
      <c r="AL49" s="243"/>
      <c r="AM49" s="243"/>
      <c r="AN49" s="243"/>
      <c r="AO49" s="243"/>
      <c r="AP49" s="243"/>
      <c r="AQ49" s="243"/>
      <c r="AR49" s="256"/>
      <c r="AT49" s="254">
        <v>38</v>
      </c>
      <c r="AU49" s="242"/>
      <c r="AV49" s="243"/>
      <c r="AW49" s="243"/>
      <c r="AX49" s="243"/>
      <c r="AY49" s="243"/>
      <c r="AZ49" s="243"/>
      <c r="BA49" s="243"/>
      <c r="BB49" s="243"/>
      <c r="BC49" s="243"/>
      <c r="BD49" s="243"/>
      <c r="BE49" s="243"/>
      <c r="BF49" s="243"/>
      <c r="BG49" s="256"/>
    </row>
    <row r="50" spans="1:59">
      <c r="A50" s="254">
        <v>39</v>
      </c>
      <c r="B50" s="242"/>
      <c r="C50" s="243"/>
      <c r="D50" s="243"/>
      <c r="E50" s="243"/>
      <c r="F50" s="243"/>
      <c r="G50" s="243"/>
      <c r="H50" s="243"/>
      <c r="I50" s="243"/>
      <c r="J50" s="243"/>
      <c r="K50" s="243"/>
      <c r="L50" s="243"/>
      <c r="M50" s="243"/>
      <c r="N50" s="256"/>
      <c r="P50" s="254">
        <v>39</v>
      </c>
      <c r="Q50" s="242"/>
      <c r="R50" s="243"/>
      <c r="S50" s="243"/>
      <c r="T50" s="243"/>
      <c r="U50" s="243"/>
      <c r="V50" s="243"/>
      <c r="W50" s="243"/>
      <c r="X50" s="243"/>
      <c r="Y50" s="243"/>
      <c r="Z50" s="243"/>
      <c r="AA50" s="243"/>
      <c r="AB50" s="243"/>
      <c r="AC50" s="256"/>
      <c r="AE50" s="254">
        <v>39</v>
      </c>
      <c r="AF50" s="242"/>
      <c r="AG50" s="243"/>
      <c r="AH50" s="243"/>
      <c r="AI50" s="243"/>
      <c r="AJ50" s="243"/>
      <c r="AK50" s="243"/>
      <c r="AL50" s="243"/>
      <c r="AM50" s="243"/>
      <c r="AN50" s="243"/>
      <c r="AO50" s="243"/>
      <c r="AP50" s="243"/>
      <c r="AQ50" s="243"/>
      <c r="AR50" s="256"/>
      <c r="AT50" s="254">
        <v>39</v>
      </c>
      <c r="AU50" s="242"/>
      <c r="AV50" s="243"/>
      <c r="AW50" s="243"/>
      <c r="AX50" s="243"/>
      <c r="AY50" s="243"/>
      <c r="AZ50" s="243"/>
      <c r="BA50" s="243"/>
      <c r="BB50" s="243"/>
      <c r="BC50" s="243"/>
      <c r="BD50" s="243"/>
      <c r="BE50" s="243"/>
      <c r="BF50" s="243"/>
      <c r="BG50" s="256"/>
    </row>
    <row r="51" spans="1:59">
      <c r="A51" s="254">
        <v>40</v>
      </c>
      <c r="B51" s="242"/>
      <c r="C51" s="243"/>
      <c r="D51" s="243"/>
      <c r="E51" s="243"/>
      <c r="F51" s="243"/>
      <c r="G51" s="243"/>
      <c r="H51" s="243"/>
      <c r="I51" s="243"/>
      <c r="J51" s="243"/>
      <c r="K51" s="243"/>
      <c r="L51" s="243"/>
      <c r="M51" s="243"/>
      <c r="N51" s="256"/>
      <c r="P51" s="254">
        <v>40</v>
      </c>
      <c r="Q51" s="242"/>
      <c r="R51" s="243"/>
      <c r="S51" s="243"/>
      <c r="T51" s="243"/>
      <c r="U51" s="243"/>
      <c r="V51" s="243"/>
      <c r="W51" s="243"/>
      <c r="X51" s="243"/>
      <c r="Y51" s="243"/>
      <c r="Z51" s="243"/>
      <c r="AA51" s="243"/>
      <c r="AB51" s="243"/>
      <c r="AC51" s="256"/>
      <c r="AE51" s="254">
        <v>40</v>
      </c>
      <c r="AF51" s="242"/>
      <c r="AG51" s="243"/>
      <c r="AH51" s="243"/>
      <c r="AI51" s="243"/>
      <c r="AJ51" s="243"/>
      <c r="AK51" s="243"/>
      <c r="AL51" s="243"/>
      <c r="AM51" s="243"/>
      <c r="AN51" s="243"/>
      <c r="AO51" s="243"/>
      <c r="AP51" s="243"/>
      <c r="AQ51" s="243"/>
      <c r="AR51" s="256"/>
      <c r="AT51" s="254">
        <v>40</v>
      </c>
      <c r="AU51" s="242"/>
      <c r="AV51" s="243"/>
      <c r="AW51" s="243"/>
      <c r="AX51" s="243"/>
      <c r="AY51" s="243"/>
      <c r="AZ51" s="243"/>
      <c r="BA51" s="243"/>
      <c r="BB51" s="243"/>
      <c r="BC51" s="243"/>
      <c r="BD51" s="243"/>
      <c r="BE51" s="243"/>
      <c r="BF51" s="243"/>
      <c r="BG51" s="256"/>
    </row>
    <row r="52" spans="1:59">
      <c r="A52" s="254">
        <v>41</v>
      </c>
      <c r="B52" s="242"/>
      <c r="C52" s="243"/>
      <c r="D52" s="243"/>
      <c r="E52" s="243"/>
      <c r="F52" s="243"/>
      <c r="G52" s="243"/>
      <c r="H52" s="243"/>
      <c r="I52" s="243"/>
      <c r="J52" s="243"/>
      <c r="K52" s="243"/>
      <c r="L52" s="243"/>
      <c r="M52" s="243"/>
      <c r="N52" s="256"/>
      <c r="P52" s="254">
        <v>41</v>
      </c>
      <c r="Q52" s="242"/>
      <c r="R52" s="243"/>
      <c r="S52" s="243"/>
      <c r="T52" s="243"/>
      <c r="U52" s="243"/>
      <c r="V52" s="243"/>
      <c r="W52" s="243"/>
      <c r="X52" s="243"/>
      <c r="Y52" s="243"/>
      <c r="Z52" s="243"/>
      <c r="AA52" s="243"/>
      <c r="AB52" s="243"/>
      <c r="AC52" s="256"/>
      <c r="AE52" s="254">
        <v>41</v>
      </c>
      <c r="AF52" s="242"/>
      <c r="AG52" s="243"/>
      <c r="AH52" s="243"/>
      <c r="AI52" s="243"/>
      <c r="AJ52" s="243"/>
      <c r="AK52" s="243"/>
      <c r="AL52" s="243"/>
      <c r="AM52" s="243"/>
      <c r="AN52" s="243"/>
      <c r="AO52" s="243"/>
      <c r="AP52" s="243"/>
      <c r="AQ52" s="243"/>
      <c r="AR52" s="256"/>
      <c r="AT52" s="254">
        <v>41</v>
      </c>
      <c r="AU52" s="242"/>
      <c r="AV52" s="243"/>
      <c r="AW52" s="243"/>
      <c r="AX52" s="243"/>
      <c r="AY52" s="243"/>
      <c r="AZ52" s="243"/>
      <c r="BA52" s="243"/>
      <c r="BB52" s="243"/>
      <c r="BC52" s="243"/>
      <c r="BD52" s="243"/>
      <c r="BE52" s="243"/>
      <c r="BF52" s="243"/>
      <c r="BG52" s="256"/>
    </row>
    <row r="53" spans="1:59">
      <c r="A53" s="254">
        <v>42</v>
      </c>
      <c r="B53" s="242"/>
      <c r="C53" s="243"/>
      <c r="D53" s="243"/>
      <c r="E53" s="243"/>
      <c r="F53" s="243"/>
      <c r="G53" s="243"/>
      <c r="H53" s="243"/>
      <c r="I53" s="243"/>
      <c r="J53" s="243"/>
      <c r="K53" s="243"/>
      <c r="L53" s="243"/>
      <c r="M53" s="243"/>
      <c r="N53" s="256"/>
      <c r="P53" s="254">
        <v>42</v>
      </c>
      <c r="Q53" s="242"/>
      <c r="R53" s="243"/>
      <c r="S53" s="243"/>
      <c r="T53" s="243"/>
      <c r="U53" s="243"/>
      <c r="V53" s="243"/>
      <c r="W53" s="243"/>
      <c r="X53" s="243"/>
      <c r="Y53" s="243"/>
      <c r="Z53" s="243"/>
      <c r="AA53" s="243"/>
      <c r="AB53" s="243"/>
      <c r="AC53" s="256"/>
      <c r="AE53" s="254">
        <v>42</v>
      </c>
      <c r="AF53" s="242"/>
      <c r="AG53" s="243"/>
      <c r="AH53" s="243"/>
      <c r="AI53" s="243"/>
      <c r="AJ53" s="243"/>
      <c r="AK53" s="243"/>
      <c r="AL53" s="243"/>
      <c r="AM53" s="243"/>
      <c r="AN53" s="243"/>
      <c r="AO53" s="243"/>
      <c r="AP53" s="243"/>
      <c r="AQ53" s="243"/>
      <c r="AR53" s="256"/>
      <c r="AT53" s="254">
        <v>42</v>
      </c>
      <c r="AU53" s="242"/>
      <c r="AV53" s="243"/>
      <c r="AW53" s="243"/>
      <c r="AX53" s="243"/>
      <c r="AY53" s="243"/>
      <c r="AZ53" s="243"/>
      <c r="BA53" s="243"/>
      <c r="BB53" s="243"/>
      <c r="BC53" s="243"/>
      <c r="BD53" s="243"/>
      <c r="BE53" s="243"/>
      <c r="BF53" s="243"/>
      <c r="BG53" s="256"/>
    </row>
    <row r="54" spans="1:59">
      <c r="A54" s="254">
        <v>43</v>
      </c>
      <c r="B54" s="242"/>
      <c r="C54" s="243"/>
      <c r="D54" s="243"/>
      <c r="E54" s="243"/>
      <c r="F54" s="243"/>
      <c r="G54" s="243"/>
      <c r="H54" s="243"/>
      <c r="I54" s="243"/>
      <c r="J54" s="243"/>
      <c r="K54" s="243"/>
      <c r="L54" s="243"/>
      <c r="M54" s="243"/>
      <c r="N54" s="256"/>
      <c r="P54" s="254">
        <v>43</v>
      </c>
      <c r="Q54" s="242"/>
      <c r="R54" s="243"/>
      <c r="S54" s="243"/>
      <c r="T54" s="243"/>
      <c r="U54" s="243"/>
      <c r="V54" s="243"/>
      <c r="W54" s="243"/>
      <c r="X54" s="243"/>
      <c r="Y54" s="243"/>
      <c r="Z54" s="243"/>
      <c r="AA54" s="243"/>
      <c r="AB54" s="243"/>
      <c r="AC54" s="256"/>
      <c r="AE54" s="254">
        <v>43</v>
      </c>
      <c r="AF54" s="242"/>
      <c r="AG54" s="243"/>
      <c r="AH54" s="243"/>
      <c r="AI54" s="243"/>
      <c r="AJ54" s="243"/>
      <c r="AK54" s="243"/>
      <c r="AL54" s="243"/>
      <c r="AM54" s="243"/>
      <c r="AN54" s="243"/>
      <c r="AO54" s="243"/>
      <c r="AP54" s="243"/>
      <c r="AQ54" s="243"/>
      <c r="AR54" s="256"/>
      <c r="AT54" s="254">
        <v>43</v>
      </c>
      <c r="AU54" s="242"/>
      <c r="AV54" s="243"/>
      <c r="AW54" s="243"/>
      <c r="AX54" s="243"/>
      <c r="AY54" s="243"/>
      <c r="AZ54" s="243"/>
      <c r="BA54" s="243"/>
      <c r="BB54" s="243"/>
      <c r="BC54" s="243"/>
      <c r="BD54" s="243"/>
      <c r="BE54" s="243"/>
      <c r="BF54" s="243"/>
      <c r="BG54" s="256"/>
    </row>
    <row r="55" spans="1:59">
      <c r="A55" s="254">
        <v>44</v>
      </c>
      <c r="B55" s="242"/>
      <c r="C55" s="243"/>
      <c r="D55" s="243"/>
      <c r="E55" s="243"/>
      <c r="F55" s="243"/>
      <c r="G55" s="243"/>
      <c r="H55" s="243"/>
      <c r="I55" s="243"/>
      <c r="J55" s="243"/>
      <c r="K55" s="243"/>
      <c r="L55" s="243"/>
      <c r="M55" s="243"/>
      <c r="N55" s="256"/>
      <c r="P55" s="254">
        <v>44</v>
      </c>
      <c r="Q55" s="242"/>
      <c r="R55" s="243"/>
      <c r="S55" s="243"/>
      <c r="T55" s="243"/>
      <c r="U55" s="243"/>
      <c r="V55" s="243"/>
      <c r="W55" s="243"/>
      <c r="X55" s="243"/>
      <c r="Y55" s="243"/>
      <c r="Z55" s="243"/>
      <c r="AA55" s="243"/>
      <c r="AB55" s="243"/>
      <c r="AC55" s="256"/>
      <c r="AE55" s="254">
        <v>44</v>
      </c>
      <c r="AF55" s="242"/>
      <c r="AG55" s="243"/>
      <c r="AH55" s="243"/>
      <c r="AI55" s="243"/>
      <c r="AJ55" s="243"/>
      <c r="AK55" s="243"/>
      <c r="AL55" s="243"/>
      <c r="AM55" s="243"/>
      <c r="AN55" s="243"/>
      <c r="AO55" s="243"/>
      <c r="AP55" s="243"/>
      <c r="AQ55" s="243"/>
      <c r="AR55" s="256"/>
      <c r="AT55" s="254">
        <v>44</v>
      </c>
      <c r="AU55" s="242"/>
      <c r="AV55" s="243"/>
      <c r="AW55" s="243"/>
      <c r="AX55" s="243"/>
      <c r="AY55" s="243"/>
      <c r="AZ55" s="243"/>
      <c r="BA55" s="243"/>
      <c r="BB55" s="243"/>
      <c r="BC55" s="243"/>
      <c r="BD55" s="243"/>
      <c r="BE55" s="243"/>
      <c r="BF55" s="243"/>
      <c r="BG55" s="256"/>
    </row>
    <row r="56" spans="1:59">
      <c r="A56" s="254">
        <v>45</v>
      </c>
      <c r="B56" s="242"/>
      <c r="C56" s="243"/>
      <c r="D56" s="243"/>
      <c r="E56" s="243"/>
      <c r="F56" s="243"/>
      <c r="G56" s="243"/>
      <c r="H56" s="243"/>
      <c r="I56" s="243"/>
      <c r="J56" s="243"/>
      <c r="K56" s="243"/>
      <c r="L56" s="243"/>
      <c r="M56" s="243"/>
      <c r="N56" s="256"/>
      <c r="P56" s="254">
        <v>45</v>
      </c>
      <c r="Q56" s="242"/>
      <c r="R56" s="243"/>
      <c r="S56" s="243"/>
      <c r="T56" s="243"/>
      <c r="U56" s="243"/>
      <c r="V56" s="243"/>
      <c r="W56" s="243"/>
      <c r="X56" s="243"/>
      <c r="Y56" s="243"/>
      <c r="Z56" s="243"/>
      <c r="AA56" s="243"/>
      <c r="AB56" s="243"/>
      <c r="AC56" s="256"/>
      <c r="AE56" s="254">
        <v>45</v>
      </c>
      <c r="AF56" s="242"/>
      <c r="AG56" s="243"/>
      <c r="AH56" s="243"/>
      <c r="AI56" s="243"/>
      <c r="AJ56" s="243"/>
      <c r="AK56" s="243"/>
      <c r="AL56" s="243"/>
      <c r="AM56" s="243"/>
      <c r="AN56" s="243"/>
      <c r="AO56" s="243"/>
      <c r="AP56" s="243"/>
      <c r="AQ56" s="243"/>
      <c r="AR56" s="256"/>
      <c r="AT56" s="254">
        <v>45</v>
      </c>
      <c r="AU56" s="242"/>
      <c r="AV56" s="243"/>
      <c r="AW56" s="243"/>
      <c r="AX56" s="243"/>
      <c r="AY56" s="243"/>
      <c r="AZ56" s="243"/>
      <c r="BA56" s="243"/>
      <c r="BB56" s="243"/>
      <c r="BC56" s="243"/>
      <c r="BD56" s="243"/>
      <c r="BE56" s="243"/>
      <c r="BF56" s="243"/>
      <c r="BG56" s="256"/>
    </row>
    <row r="57" spans="1:59">
      <c r="A57" s="254">
        <v>46</v>
      </c>
      <c r="B57" s="242"/>
      <c r="C57" s="243"/>
      <c r="D57" s="243"/>
      <c r="E57" s="243"/>
      <c r="F57" s="243"/>
      <c r="G57" s="243"/>
      <c r="H57" s="243"/>
      <c r="I57" s="243"/>
      <c r="J57" s="243"/>
      <c r="K57" s="243"/>
      <c r="L57" s="243"/>
      <c r="M57" s="243"/>
      <c r="N57" s="256"/>
      <c r="P57" s="254">
        <v>46</v>
      </c>
      <c r="Q57" s="242"/>
      <c r="R57" s="243"/>
      <c r="S57" s="243"/>
      <c r="T57" s="243"/>
      <c r="U57" s="243"/>
      <c r="V57" s="243"/>
      <c r="W57" s="243"/>
      <c r="X57" s="243"/>
      <c r="Y57" s="243"/>
      <c r="Z57" s="243"/>
      <c r="AA57" s="243"/>
      <c r="AB57" s="243"/>
      <c r="AC57" s="256"/>
      <c r="AE57" s="254">
        <v>46</v>
      </c>
      <c r="AF57" s="242"/>
      <c r="AG57" s="243"/>
      <c r="AH57" s="243"/>
      <c r="AI57" s="243"/>
      <c r="AJ57" s="243"/>
      <c r="AK57" s="243"/>
      <c r="AL57" s="243"/>
      <c r="AM57" s="243"/>
      <c r="AN57" s="243"/>
      <c r="AO57" s="243"/>
      <c r="AP57" s="243"/>
      <c r="AQ57" s="243"/>
      <c r="AR57" s="256"/>
      <c r="AT57" s="254">
        <v>46</v>
      </c>
      <c r="AU57" s="242"/>
      <c r="AV57" s="243"/>
      <c r="AW57" s="243"/>
      <c r="AX57" s="243"/>
      <c r="AY57" s="243"/>
      <c r="AZ57" s="243"/>
      <c r="BA57" s="243"/>
      <c r="BB57" s="243"/>
      <c r="BC57" s="243"/>
      <c r="BD57" s="243"/>
      <c r="BE57" s="243"/>
      <c r="BF57" s="243"/>
      <c r="BG57" s="256"/>
    </row>
    <row r="58" spans="1:59">
      <c r="A58" s="254">
        <v>47</v>
      </c>
      <c r="B58" s="242"/>
      <c r="C58" s="243"/>
      <c r="D58" s="243"/>
      <c r="E58" s="243"/>
      <c r="F58" s="243"/>
      <c r="G58" s="243"/>
      <c r="H58" s="243"/>
      <c r="I58" s="243"/>
      <c r="J58" s="243"/>
      <c r="K58" s="243"/>
      <c r="L58" s="243"/>
      <c r="M58" s="243"/>
      <c r="N58" s="256"/>
      <c r="P58" s="254">
        <v>47</v>
      </c>
      <c r="Q58" s="242"/>
      <c r="R58" s="243"/>
      <c r="S58" s="243"/>
      <c r="T58" s="243"/>
      <c r="U58" s="243"/>
      <c r="V58" s="243"/>
      <c r="W58" s="243"/>
      <c r="X58" s="243"/>
      <c r="Y58" s="243"/>
      <c r="Z58" s="243"/>
      <c r="AA58" s="243"/>
      <c r="AB58" s="243"/>
      <c r="AC58" s="256"/>
      <c r="AE58" s="254">
        <v>47</v>
      </c>
      <c r="AF58" s="242"/>
      <c r="AG58" s="243"/>
      <c r="AH58" s="243"/>
      <c r="AI58" s="243"/>
      <c r="AJ58" s="243"/>
      <c r="AK58" s="243"/>
      <c r="AL58" s="243"/>
      <c r="AM58" s="243"/>
      <c r="AN58" s="243"/>
      <c r="AO58" s="243"/>
      <c r="AP58" s="243"/>
      <c r="AQ58" s="243"/>
      <c r="AR58" s="256"/>
      <c r="AT58" s="254">
        <v>47</v>
      </c>
      <c r="AU58" s="242"/>
      <c r="AV58" s="243"/>
      <c r="AW58" s="243"/>
      <c r="AX58" s="243"/>
      <c r="AY58" s="243"/>
      <c r="AZ58" s="243"/>
      <c r="BA58" s="243"/>
      <c r="BB58" s="243"/>
      <c r="BC58" s="243"/>
      <c r="BD58" s="243"/>
      <c r="BE58" s="243"/>
      <c r="BF58" s="243"/>
      <c r="BG58" s="256"/>
    </row>
    <row r="59" spans="1:59">
      <c r="A59" s="254">
        <v>48</v>
      </c>
      <c r="B59" s="242"/>
      <c r="C59" s="243"/>
      <c r="D59" s="243"/>
      <c r="E59" s="243"/>
      <c r="F59" s="243"/>
      <c r="G59" s="243"/>
      <c r="H59" s="243"/>
      <c r="I59" s="243"/>
      <c r="J59" s="243"/>
      <c r="K59" s="243"/>
      <c r="L59" s="243"/>
      <c r="M59" s="243"/>
      <c r="N59" s="256"/>
      <c r="P59" s="254">
        <v>48</v>
      </c>
      <c r="Q59" s="242"/>
      <c r="R59" s="243"/>
      <c r="S59" s="243"/>
      <c r="T59" s="243"/>
      <c r="U59" s="243"/>
      <c r="V59" s="243"/>
      <c r="W59" s="243"/>
      <c r="X59" s="243"/>
      <c r="Y59" s="243"/>
      <c r="Z59" s="243"/>
      <c r="AA59" s="243"/>
      <c r="AB59" s="243"/>
      <c r="AC59" s="256"/>
      <c r="AE59" s="254">
        <v>48</v>
      </c>
      <c r="AF59" s="242"/>
      <c r="AG59" s="243"/>
      <c r="AH59" s="243"/>
      <c r="AI59" s="243"/>
      <c r="AJ59" s="243"/>
      <c r="AK59" s="243"/>
      <c r="AL59" s="243"/>
      <c r="AM59" s="243"/>
      <c r="AN59" s="243"/>
      <c r="AO59" s="243"/>
      <c r="AP59" s="243"/>
      <c r="AQ59" s="243"/>
      <c r="AR59" s="256"/>
      <c r="AT59" s="254">
        <v>48</v>
      </c>
      <c r="AU59" s="242"/>
      <c r="AV59" s="243"/>
      <c r="AW59" s="243"/>
      <c r="AX59" s="243"/>
      <c r="AY59" s="243"/>
      <c r="AZ59" s="243"/>
      <c r="BA59" s="243"/>
      <c r="BB59" s="243"/>
      <c r="BC59" s="243"/>
      <c r="BD59" s="243"/>
      <c r="BE59" s="243"/>
      <c r="BF59" s="243"/>
      <c r="BG59" s="256"/>
    </row>
    <row r="60" spans="1:59">
      <c r="A60" s="254">
        <v>49</v>
      </c>
      <c r="B60" s="242"/>
      <c r="C60" s="243"/>
      <c r="D60" s="243"/>
      <c r="E60" s="243"/>
      <c r="F60" s="243"/>
      <c r="G60" s="243"/>
      <c r="H60" s="243"/>
      <c r="I60" s="243"/>
      <c r="J60" s="243"/>
      <c r="K60" s="243"/>
      <c r="L60" s="243"/>
      <c r="M60" s="243"/>
      <c r="N60" s="256"/>
      <c r="P60" s="254">
        <v>49</v>
      </c>
      <c r="Q60" s="242"/>
      <c r="R60" s="243"/>
      <c r="S60" s="243"/>
      <c r="T60" s="243"/>
      <c r="U60" s="243"/>
      <c r="V60" s="243"/>
      <c r="W60" s="243"/>
      <c r="X60" s="243"/>
      <c r="Y60" s="243"/>
      <c r="Z60" s="243"/>
      <c r="AA60" s="243"/>
      <c r="AB60" s="243"/>
      <c r="AC60" s="256"/>
      <c r="AE60" s="254">
        <v>49</v>
      </c>
      <c r="AF60" s="242"/>
      <c r="AG60" s="243"/>
      <c r="AH60" s="243"/>
      <c r="AI60" s="243"/>
      <c r="AJ60" s="243"/>
      <c r="AK60" s="243"/>
      <c r="AL60" s="243"/>
      <c r="AM60" s="243"/>
      <c r="AN60" s="243"/>
      <c r="AO60" s="243"/>
      <c r="AP60" s="243"/>
      <c r="AQ60" s="243"/>
      <c r="AR60" s="256"/>
      <c r="AT60" s="254">
        <v>49</v>
      </c>
      <c r="AU60" s="242"/>
      <c r="AV60" s="243"/>
      <c r="AW60" s="243"/>
      <c r="AX60" s="243"/>
      <c r="AY60" s="243"/>
      <c r="AZ60" s="243"/>
      <c r="BA60" s="243"/>
      <c r="BB60" s="243"/>
      <c r="BC60" s="243"/>
      <c r="BD60" s="243"/>
      <c r="BE60" s="243"/>
      <c r="BF60" s="243"/>
      <c r="BG60" s="256"/>
    </row>
    <row r="61" spans="1:59">
      <c r="A61" s="254">
        <v>50</v>
      </c>
      <c r="B61" s="242"/>
      <c r="C61" s="243"/>
      <c r="D61" s="243"/>
      <c r="E61" s="243"/>
      <c r="F61" s="243"/>
      <c r="G61" s="243"/>
      <c r="H61" s="243"/>
      <c r="I61" s="243"/>
      <c r="J61" s="243"/>
      <c r="K61" s="243"/>
      <c r="L61" s="243"/>
      <c r="M61" s="243"/>
      <c r="N61" s="256"/>
      <c r="P61" s="254">
        <v>50</v>
      </c>
      <c r="Q61" s="242"/>
      <c r="R61" s="243"/>
      <c r="S61" s="243"/>
      <c r="T61" s="243"/>
      <c r="U61" s="243"/>
      <c r="V61" s="243"/>
      <c r="W61" s="243"/>
      <c r="X61" s="243"/>
      <c r="Y61" s="243"/>
      <c r="Z61" s="243"/>
      <c r="AA61" s="243"/>
      <c r="AB61" s="243"/>
      <c r="AC61" s="256"/>
      <c r="AE61" s="254">
        <v>50</v>
      </c>
      <c r="AF61" s="242"/>
      <c r="AG61" s="243"/>
      <c r="AH61" s="243"/>
      <c r="AI61" s="243"/>
      <c r="AJ61" s="243"/>
      <c r="AK61" s="243"/>
      <c r="AL61" s="243"/>
      <c r="AM61" s="243"/>
      <c r="AN61" s="243"/>
      <c r="AO61" s="243"/>
      <c r="AP61" s="243"/>
      <c r="AQ61" s="243"/>
      <c r="AR61" s="256"/>
      <c r="AT61" s="254">
        <v>50</v>
      </c>
      <c r="AU61" s="242"/>
      <c r="AV61" s="243"/>
      <c r="AW61" s="243"/>
      <c r="AX61" s="243"/>
      <c r="AY61" s="243"/>
      <c r="AZ61" s="243"/>
      <c r="BA61" s="243"/>
      <c r="BB61" s="243"/>
      <c r="BC61" s="243"/>
      <c r="BD61" s="243"/>
      <c r="BE61" s="243"/>
      <c r="BF61" s="243"/>
      <c r="BG61" s="256"/>
    </row>
    <row r="62" spans="1:59">
      <c r="A62" s="254">
        <v>51</v>
      </c>
      <c r="B62" s="242"/>
      <c r="C62" s="243"/>
      <c r="D62" s="243"/>
      <c r="E62" s="243"/>
      <c r="F62" s="243"/>
      <c r="G62" s="243"/>
      <c r="H62" s="243"/>
      <c r="I62" s="243"/>
      <c r="J62" s="243"/>
      <c r="K62" s="243"/>
      <c r="L62" s="243"/>
      <c r="M62" s="243"/>
      <c r="N62" s="256"/>
      <c r="P62" s="254">
        <v>51</v>
      </c>
      <c r="Q62" s="242"/>
      <c r="R62" s="243"/>
      <c r="S62" s="243"/>
      <c r="T62" s="243"/>
      <c r="U62" s="243"/>
      <c r="V62" s="243"/>
      <c r="W62" s="243"/>
      <c r="X62" s="243"/>
      <c r="Y62" s="243"/>
      <c r="Z62" s="243"/>
      <c r="AA62" s="243"/>
      <c r="AB62" s="243"/>
      <c r="AC62" s="256"/>
      <c r="AE62" s="254">
        <v>51</v>
      </c>
      <c r="AF62" s="242"/>
      <c r="AG62" s="243"/>
      <c r="AH62" s="243"/>
      <c r="AI62" s="243"/>
      <c r="AJ62" s="243"/>
      <c r="AK62" s="243"/>
      <c r="AL62" s="243"/>
      <c r="AM62" s="243"/>
      <c r="AN62" s="243"/>
      <c r="AO62" s="243"/>
      <c r="AP62" s="243"/>
      <c r="AQ62" s="243"/>
      <c r="AR62" s="256"/>
      <c r="AT62" s="254">
        <v>51</v>
      </c>
      <c r="AU62" s="242"/>
      <c r="AV62" s="243"/>
      <c r="AW62" s="243"/>
      <c r="AX62" s="243"/>
      <c r="AY62" s="243"/>
      <c r="AZ62" s="243"/>
      <c r="BA62" s="243"/>
      <c r="BB62" s="243"/>
      <c r="BC62" s="243"/>
      <c r="BD62" s="243"/>
      <c r="BE62" s="243"/>
      <c r="BF62" s="243"/>
      <c r="BG62" s="256"/>
    </row>
    <row r="63" spans="1:59">
      <c r="A63" s="254">
        <v>52</v>
      </c>
      <c r="B63" s="242"/>
      <c r="C63" s="243"/>
      <c r="D63" s="243"/>
      <c r="E63" s="243"/>
      <c r="F63" s="243"/>
      <c r="G63" s="243"/>
      <c r="H63" s="243"/>
      <c r="I63" s="243"/>
      <c r="J63" s="243"/>
      <c r="K63" s="243"/>
      <c r="L63" s="243"/>
      <c r="M63" s="243"/>
      <c r="N63" s="256"/>
      <c r="P63" s="254">
        <v>52</v>
      </c>
      <c r="Q63" s="242"/>
      <c r="R63" s="243"/>
      <c r="S63" s="243"/>
      <c r="T63" s="243"/>
      <c r="U63" s="243"/>
      <c r="V63" s="243"/>
      <c r="W63" s="243"/>
      <c r="X63" s="243"/>
      <c r="Y63" s="243"/>
      <c r="Z63" s="243"/>
      <c r="AA63" s="243"/>
      <c r="AB63" s="243"/>
      <c r="AC63" s="256"/>
      <c r="AE63" s="254">
        <v>52</v>
      </c>
      <c r="AF63" s="242"/>
      <c r="AG63" s="243"/>
      <c r="AH63" s="243"/>
      <c r="AI63" s="243"/>
      <c r="AJ63" s="243"/>
      <c r="AK63" s="243"/>
      <c r="AL63" s="243"/>
      <c r="AM63" s="243"/>
      <c r="AN63" s="243"/>
      <c r="AO63" s="243"/>
      <c r="AP63" s="243"/>
      <c r="AQ63" s="243"/>
      <c r="AR63" s="256"/>
      <c r="AT63" s="254">
        <v>52</v>
      </c>
      <c r="AU63" s="242"/>
      <c r="AV63" s="243"/>
      <c r="AW63" s="243"/>
      <c r="AX63" s="243"/>
      <c r="AY63" s="243"/>
      <c r="AZ63" s="243"/>
      <c r="BA63" s="243"/>
      <c r="BB63" s="243"/>
      <c r="BC63" s="243"/>
      <c r="BD63" s="243"/>
      <c r="BE63" s="243"/>
      <c r="BF63" s="243"/>
      <c r="BG63" s="256"/>
    </row>
    <row r="64" spans="1:59">
      <c r="A64" s="254">
        <v>53</v>
      </c>
      <c r="B64" s="242"/>
      <c r="C64" s="243"/>
      <c r="D64" s="243"/>
      <c r="E64" s="243"/>
      <c r="F64" s="243"/>
      <c r="G64" s="243"/>
      <c r="H64" s="243"/>
      <c r="I64" s="243"/>
      <c r="J64" s="243"/>
      <c r="K64" s="243"/>
      <c r="L64" s="243"/>
      <c r="M64" s="243"/>
      <c r="N64" s="256"/>
      <c r="P64" s="254">
        <v>53</v>
      </c>
      <c r="Q64" s="242"/>
      <c r="R64" s="243"/>
      <c r="S64" s="243"/>
      <c r="T64" s="243"/>
      <c r="U64" s="243"/>
      <c r="V64" s="243"/>
      <c r="W64" s="243"/>
      <c r="X64" s="243"/>
      <c r="Y64" s="243"/>
      <c r="Z64" s="243"/>
      <c r="AA64" s="243"/>
      <c r="AB64" s="243"/>
      <c r="AC64" s="256"/>
      <c r="AE64" s="254">
        <v>53</v>
      </c>
      <c r="AF64" s="242"/>
      <c r="AG64" s="243"/>
      <c r="AH64" s="243"/>
      <c r="AI64" s="243"/>
      <c r="AJ64" s="243"/>
      <c r="AK64" s="243"/>
      <c r="AL64" s="243"/>
      <c r="AM64" s="243"/>
      <c r="AN64" s="243"/>
      <c r="AO64" s="243"/>
      <c r="AP64" s="243"/>
      <c r="AQ64" s="243"/>
      <c r="AR64" s="256"/>
      <c r="AT64" s="254">
        <v>53</v>
      </c>
      <c r="AU64" s="242"/>
      <c r="AV64" s="243"/>
      <c r="AW64" s="243"/>
      <c r="AX64" s="243"/>
      <c r="AY64" s="243"/>
      <c r="AZ64" s="243"/>
      <c r="BA64" s="243"/>
      <c r="BB64" s="243"/>
      <c r="BC64" s="243"/>
      <c r="BD64" s="243"/>
      <c r="BE64" s="243"/>
      <c r="BF64" s="243"/>
      <c r="BG64" s="256"/>
    </row>
    <row r="65" spans="1:59">
      <c r="A65" s="254">
        <v>54</v>
      </c>
      <c r="B65" s="242"/>
      <c r="C65" s="243"/>
      <c r="D65" s="243"/>
      <c r="E65" s="243"/>
      <c r="F65" s="243"/>
      <c r="G65" s="243"/>
      <c r="H65" s="243"/>
      <c r="I65" s="243"/>
      <c r="J65" s="243"/>
      <c r="K65" s="243"/>
      <c r="L65" s="243"/>
      <c r="M65" s="243"/>
      <c r="N65" s="256"/>
      <c r="P65" s="254">
        <v>54</v>
      </c>
      <c r="Q65" s="242"/>
      <c r="R65" s="243"/>
      <c r="S65" s="243"/>
      <c r="T65" s="243"/>
      <c r="U65" s="243"/>
      <c r="V65" s="243"/>
      <c r="W65" s="243"/>
      <c r="X65" s="243"/>
      <c r="Y65" s="243"/>
      <c r="Z65" s="243"/>
      <c r="AA65" s="243"/>
      <c r="AB65" s="243"/>
      <c r="AC65" s="256"/>
      <c r="AE65" s="254">
        <v>54</v>
      </c>
      <c r="AF65" s="242"/>
      <c r="AG65" s="243"/>
      <c r="AH65" s="243"/>
      <c r="AI65" s="243"/>
      <c r="AJ65" s="243"/>
      <c r="AK65" s="243"/>
      <c r="AL65" s="243"/>
      <c r="AM65" s="243"/>
      <c r="AN65" s="243"/>
      <c r="AO65" s="243"/>
      <c r="AP65" s="243"/>
      <c r="AQ65" s="243"/>
      <c r="AR65" s="256"/>
      <c r="AT65" s="254">
        <v>54</v>
      </c>
      <c r="AU65" s="242"/>
      <c r="AV65" s="243"/>
      <c r="AW65" s="243"/>
      <c r="AX65" s="243"/>
      <c r="AY65" s="243"/>
      <c r="AZ65" s="243"/>
      <c r="BA65" s="243"/>
      <c r="BB65" s="243"/>
      <c r="BC65" s="243"/>
      <c r="BD65" s="243"/>
      <c r="BE65" s="243"/>
      <c r="BF65" s="243"/>
      <c r="BG65" s="256"/>
    </row>
    <row r="66" spans="1:59">
      <c r="A66" s="254">
        <v>55</v>
      </c>
      <c r="B66" s="242"/>
      <c r="C66" s="243"/>
      <c r="D66" s="243"/>
      <c r="E66" s="243"/>
      <c r="F66" s="243"/>
      <c r="G66" s="243"/>
      <c r="H66" s="243"/>
      <c r="I66" s="243"/>
      <c r="J66" s="243"/>
      <c r="K66" s="243"/>
      <c r="L66" s="243"/>
      <c r="M66" s="243"/>
      <c r="N66" s="256"/>
      <c r="P66" s="254">
        <v>55</v>
      </c>
      <c r="Q66" s="242"/>
      <c r="R66" s="243"/>
      <c r="S66" s="243"/>
      <c r="T66" s="243"/>
      <c r="U66" s="243"/>
      <c r="V66" s="243"/>
      <c r="W66" s="243"/>
      <c r="X66" s="243"/>
      <c r="Y66" s="243"/>
      <c r="Z66" s="243"/>
      <c r="AA66" s="243"/>
      <c r="AB66" s="243"/>
      <c r="AC66" s="256"/>
      <c r="AE66" s="254">
        <v>55</v>
      </c>
      <c r="AF66" s="242"/>
      <c r="AG66" s="243"/>
      <c r="AH66" s="243"/>
      <c r="AI66" s="243"/>
      <c r="AJ66" s="243"/>
      <c r="AK66" s="243"/>
      <c r="AL66" s="243"/>
      <c r="AM66" s="243"/>
      <c r="AN66" s="243"/>
      <c r="AO66" s="243"/>
      <c r="AP66" s="243"/>
      <c r="AQ66" s="243"/>
      <c r="AR66" s="256"/>
      <c r="AT66" s="254">
        <v>55</v>
      </c>
      <c r="AU66" s="242"/>
      <c r="AV66" s="243"/>
      <c r="AW66" s="243"/>
      <c r="AX66" s="243"/>
      <c r="AY66" s="243"/>
      <c r="AZ66" s="243"/>
      <c r="BA66" s="243"/>
      <c r="BB66" s="243"/>
      <c r="BC66" s="243"/>
      <c r="BD66" s="243"/>
      <c r="BE66" s="243"/>
      <c r="BF66" s="243"/>
      <c r="BG66" s="256"/>
    </row>
    <row r="67" spans="1:59">
      <c r="A67" s="254">
        <v>56</v>
      </c>
      <c r="B67" s="242"/>
      <c r="C67" s="243"/>
      <c r="D67" s="243"/>
      <c r="E67" s="243"/>
      <c r="F67" s="243"/>
      <c r="G67" s="243"/>
      <c r="H67" s="243"/>
      <c r="I67" s="243"/>
      <c r="J67" s="243"/>
      <c r="K67" s="243"/>
      <c r="L67" s="243"/>
      <c r="M67" s="243"/>
      <c r="N67" s="256"/>
      <c r="P67" s="254">
        <v>56</v>
      </c>
      <c r="Q67" s="242"/>
      <c r="R67" s="243"/>
      <c r="S67" s="243"/>
      <c r="T67" s="243"/>
      <c r="U67" s="243"/>
      <c r="V67" s="243"/>
      <c r="W67" s="243"/>
      <c r="X67" s="243"/>
      <c r="Y67" s="243"/>
      <c r="Z67" s="243"/>
      <c r="AA67" s="243"/>
      <c r="AB67" s="243"/>
      <c r="AC67" s="256"/>
      <c r="AE67" s="254">
        <v>56</v>
      </c>
      <c r="AF67" s="242"/>
      <c r="AG67" s="243"/>
      <c r="AH67" s="243"/>
      <c r="AI67" s="243"/>
      <c r="AJ67" s="243"/>
      <c r="AK67" s="243"/>
      <c r="AL67" s="243"/>
      <c r="AM67" s="243"/>
      <c r="AN67" s="243"/>
      <c r="AO67" s="243"/>
      <c r="AP67" s="243"/>
      <c r="AQ67" s="243"/>
      <c r="AR67" s="256"/>
      <c r="AT67" s="254">
        <v>56</v>
      </c>
      <c r="AU67" s="242"/>
      <c r="AV67" s="243"/>
      <c r="AW67" s="243"/>
      <c r="AX67" s="243"/>
      <c r="AY67" s="243"/>
      <c r="AZ67" s="243"/>
      <c r="BA67" s="243"/>
      <c r="BB67" s="243"/>
      <c r="BC67" s="243"/>
      <c r="BD67" s="243"/>
      <c r="BE67" s="243"/>
      <c r="BF67" s="243"/>
      <c r="BG67" s="256"/>
    </row>
    <row r="68" spans="1:59">
      <c r="A68" s="254">
        <v>57</v>
      </c>
      <c r="B68" s="242"/>
      <c r="C68" s="243"/>
      <c r="D68" s="243"/>
      <c r="E68" s="243"/>
      <c r="F68" s="243"/>
      <c r="G68" s="243"/>
      <c r="H68" s="243"/>
      <c r="I68" s="243"/>
      <c r="J68" s="243"/>
      <c r="K68" s="243"/>
      <c r="L68" s="243"/>
      <c r="M68" s="243"/>
      <c r="N68" s="256"/>
      <c r="P68" s="254">
        <v>57</v>
      </c>
      <c r="Q68" s="242"/>
      <c r="R68" s="243"/>
      <c r="S68" s="243"/>
      <c r="T68" s="243"/>
      <c r="U68" s="243"/>
      <c r="V68" s="243"/>
      <c r="W68" s="243"/>
      <c r="X68" s="243"/>
      <c r="Y68" s="243"/>
      <c r="Z68" s="243"/>
      <c r="AA68" s="243"/>
      <c r="AB68" s="243"/>
      <c r="AC68" s="256"/>
      <c r="AE68" s="254">
        <v>57</v>
      </c>
      <c r="AF68" s="242"/>
      <c r="AG68" s="243"/>
      <c r="AH68" s="243"/>
      <c r="AI68" s="243"/>
      <c r="AJ68" s="243"/>
      <c r="AK68" s="243"/>
      <c r="AL68" s="243"/>
      <c r="AM68" s="243"/>
      <c r="AN68" s="243"/>
      <c r="AO68" s="243"/>
      <c r="AP68" s="243"/>
      <c r="AQ68" s="243"/>
      <c r="AR68" s="256"/>
      <c r="AT68" s="254">
        <v>57</v>
      </c>
      <c r="AU68" s="242"/>
      <c r="AV68" s="243"/>
      <c r="AW68" s="243"/>
      <c r="AX68" s="243"/>
      <c r="AY68" s="243"/>
      <c r="AZ68" s="243"/>
      <c r="BA68" s="243"/>
      <c r="BB68" s="243"/>
      <c r="BC68" s="243"/>
      <c r="BD68" s="243"/>
      <c r="BE68" s="243"/>
      <c r="BF68" s="243"/>
      <c r="BG68" s="256"/>
    </row>
    <row r="69" spans="1:59">
      <c r="A69" s="254">
        <v>58</v>
      </c>
      <c r="B69" s="242"/>
      <c r="C69" s="243"/>
      <c r="D69" s="243"/>
      <c r="E69" s="243"/>
      <c r="F69" s="243"/>
      <c r="G69" s="243"/>
      <c r="H69" s="243"/>
      <c r="I69" s="243"/>
      <c r="J69" s="243"/>
      <c r="K69" s="243"/>
      <c r="L69" s="243"/>
      <c r="M69" s="243"/>
      <c r="N69" s="256"/>
      <c r="P69" s="254">
        <v>58</v>
      </c>
      <c r="Q69" s="242"/>
      <c r="R69" s="243"/>
      <c r="S69" s="243"/>
      <c r="T69" s="243"/>
      <c r="U69" s="243"/>
      <c r="V69" s="243"/>
      <c r="W69" s="243"/>
      <c r="X69" s="243"/>
      <c r="Y69" s="243"/>
      <c r="Z69" s="243"/>
      <c r="AA69" s="243"/>
      <c r="AB69" s="243"/>
      <c r="AC69" s="256"/>
      <c r="AE69" s="254">
        <v>58</v>
      </c>
      <c r="AF69" s="242"/>
      <c r="AG69" s="243"/>
      <c r="AH69" s="243"/>
      <c r="AI69" s="243"/>
      <c r="AJ69" s="243"/>
      <c r="AK69" s="243"/>
      <c r="AL69" s="243"/>
      <c r="AM69" s="243"/>
      <c r="AN69" s="243"/>
      <c r="AO69" s="243"/>
      <c r="AP69" s="243"/>
      <c r="AQ69" s="243"/>
      <c r="AR69" s="256"/>
      <c r="AT69" s="254">
        <v>58</v>
      </c>
      <c r="AU69" s="242"/>
      <c r="AV69" s="243"/>
      <c r="AW69" s="243"/>
      <c r="AX69" s="243"/>
      <c r="AY69" s="243"/>
      <c r="AZ69" s="243"/>
      <c r="BA69" s="243"/>
      <c r="BB69" s="243"/>
      <c r="BC69" s="243"/>
      <c r="BD69" s="243"/>
      <c r="BE69" s="243"/>
      <c r="BF69" s="243"/>
      <c r="BG69" s="256"/>
    </row>
    <row r="70" spans="1:59">
      <c r="A70" s="254">
        <v>59</v>
      </c>
      <c r="B70" s="242"/>
      <c r="C70" s="243"/>
      <c r="D70" s="243"/>
      <c r="E70" s="243"/>
      <c r="F70" s="243"/>
      <c r="G70" s="243"/>
      <c r="H70" s="243"/>
      <c r="I70" s="243"/>
      <c r="J70" s="243"/>
      <c r="K70" s="243"/>
      <c r="L70" s="243"/>
      <c r="M70" s="243"/>
      <c r="N70" s="256"/>
      <c r="P70" s="254">
        <v>59</v>
      </c>
      <c r="Q70" s="242"/>
      <c r="R70" s="243"/>
      <c r="S70" s="243"/>
      <c r="T70" s="243"/>
      <c r="U70" s="243"/>
      <c r="V70" s="243"/>
      <c r="W70" s="243"/>
      <c r="X70" s="243"/>
      <c r="Y70" s="243"/>
      <c r="Z70" s="243"/>
      <c r="AA70" s="243"/>
      <c r="AB70" s="243"/>
      <c r="AC70" s="256"/>
      <c r="AE70" s="254">
        <v>59</v>
      </c>
      <c r="AF70" s="242"/>
      <c r="AG70" s="243"/>
      <c r="AH70" s="243"/>
      <c r="AI70" s="243"/>
      <c r="AJ70" s="243"/>
      <c r="AK70" s="243"/>
      <c r="AL70" s="243"/>
      <c r="AM70" s="243"/>
      <c r="AN70" s="243"/>
      <c r="AO70" s="243"/>
      <c r="AP70" s="243"/>
      <c r="AQ70" s="243"/>
      <c r="AR70" s="256"/>
      <c r="AT70" s="254">
        <v>59</v>
      </c>
      <c r="AU70" s="242"/>
      <c r="AV70" s="243"/>
      <c r="AW70" s="243"/>
      <c r="AX70" s="243"/>
      <c r="AY70" s="243"/>
      <c r="AZ70" s="243"/>
      <c r="BA70" s="243"/>
      <c r="BB70" s="243"/>
      <c r="BC70" s="243"/>
      <c r="BD70" s="243"/>
      <c r="BE70" s="243"/>
      <c r="BF70" s="243"/>
      <c r="BG70" s="256"/>
    </row>
    <row r="71" spans="1:59">
      <c r="A71" s="254">
        <v>60</v>
      </c>
      <c r="B71" s="242"/>
      <c r="C71" s="243"/>
      <c r="D71" s="243"/>
      <c r="E71" s="243"/>
      <c r="F71" s="243"/>
      <c r="G71" s="243"/>
      <c r="H71" s="243"/>
      <c r="I71" s="243"/>
      <c r="J71" s="243"/>
      <c r="K71" s="243"/>
      <c r="L71" s="243"/>
      <c r="M71" s="243"/>
      <c r="N71" s="256"/>
      <c r="P71" s="254">
        <v>60</v>
      </c>
      <c r="Q71" s="242"/>
      <c r="R71" s="243"/>
      <c r="S71" s="243"/>
      <c r="T71" s="243"/>
      <c r="U71" s="243"/>
      <c r="V71" s="243"/>
      <c r="W71" s="243"/>
      <c r="X71" s="243"/>
      <c r="Y71" s="243"/>
      <c r="Z71" s="243"/>
      <c r="AA71" s="243"/>
      <c r="AB71" s="243"/>
      <c r="AC71" s="256"/>
      <c r="AE71" s="254">
        <v>60</v>
      </c>
      <c r="AF71" s="242"/>
      <c r="AG71" s="243"/>
      <c r="AH71" s="243"/>
      <c r="AI71" s="243"/>
      <c r="AJ71" s="243"/>
      <c r="AK71" s="243"/>
      <c r="AL71" s="243"/>
      <c r="AM71" s="243"/>
      <c r="AN71" s="243"/>
      <c r="AO71" s="243"/>
      <c r="AP71" s="243"/>
      <c r="AQ71" s="243"/>
      <c r="AR71" s="256"/>
      <c r="AT71" s="254">
        <v>60</v>
      </c>
      <c r="AU71" s="242"/>
      <c r="AV71" s="243"/>
      <c r="AW71" s="243"/>
      <c r="AX71" s="243"/>
      <c r="AY71" s="243"/>
      <c r="AZ71" s="243"/>
      <c r="BA71" s="243"/>
      <c r="BB71" s="243"/>
      <c r="BC71" s="243"/>
      <c r="BD71" s="243"/>
      <c r="BE71" s="243"/>
      <c r="BF71" s="243"/>
      <c r="BG71" s="256"/>
    </row>
    <row r="72" spans="1:59">
      <c r="A72" s="254">
        <v>61</v>
      </c>
      <c r="B72" s="242"/>
      <c r="C72" s="243"/>
      <c r="D72" s="243"/>
      <c r="E72" s="243"/>
      <c r="F72" s="243"/>
      <c r="G72" s="243"/>
      <c r="H72" s="243"/>
      <c r="I72" s="243"/>
      <c r="J72" s="243"/>
      <c r="K72" s="243"/>
      <c r="L72" s="243"/>
      <c r="M72" s="243"/>
      <c r="N72" s="256"/>
      <c r="P72" s="254">
        <v>61</v>
      </c>
      <c r="Q72" s="242"/>
      <c r="R72" s="243"/>
      <c r="S72" s="243"/>
      <c r="T72" s="243"/>
      <c r="U72" s="243"/>
      <c r="V72" s="243"/>
      <c r="W72" s="243"/>
      <c r="X72" s="243"/>
      <c r="Y72" s="243"/>
      <c r="Z72" s="243"/>
      <c r="AA72" s="243"/>
      <c r="AB72" s="243"/>
      <c r="AC72" s="256"/>
      <c r="AE72" s="254">
        <v>61</v>
      </c>
      <c r="AF72" s="242"/>
      <c r="AG72" s="243"/>
      <c r="AH72" s="243"/>
      <c r="AI72" s="243"/>
      <c r="AJ72" s="243"/>
      <c r="AK72" s="243"/>
      <c r="AL72" s="243"/>
      <c r="AM72" s="243"/>
      <c r="AN72" s="243"/>
      <c r="AO72" s="243"/>
      <c r="AP72" s="243"/>
      <c r="AQ72" s="243"/>
      <c r="AR72" s="256"/>
      <c r="AT72" s="254">
        <v>61</v>
      </c>
      <c r="AU72" s="242"/>
      <c r="AV72" s="243"/>
      <c r="AW72" s="243"/>
      <c r="AX72" s="243"/>
      <c r="AY72" s="243"/>
      <c r="AZ72" s="243"/>
      <c r="BA72" s="243"/>
      <c r="BB72" s="243"/>
      <c r="BC72" s="243"/>
      <c r="BD72" s="243"/>
      <c r="BE72" s="243"/>
      <c r="BF72" s="243"/>
      <c r="BG72" s="256"/>
    </row>
    <row r="73" spans="1:59">
      <c r="A73" s="254">
        <v>62</v>
      </c>
      <c r="B73" s="242"/>
      <c r="C73" s="243"/>
      <c r="D73" s="243"/>
      <c r="E73" s="243"/>
      <c r="F73" s="243"/>
      <c r="G73" s="243"/>
      <c r="H73" s="243"/>
      <c r="I73" s="243"/>
      <c r="J73" s="243"/>
      <c r="K73" s="243"/>
      <c r="L73" s="243"/>
      <c r="M73" s="243"/>
      <c r="N73" s="256"/>
      <c r="P73" s="254">
        <v>62</v>
      </c>
      <c r="Q73" s="242"/>
      <c r="R73" s="243"/>
      <c r="S73" s="243"/>
      <c r="T73" s="243"/>
      <c r="U73" s="243"/>
      <c r="V73" s="243"/>
      <c r="W73" s="243"/>
      <c r="X73" s="243"/>
      <c r="Y73" s="243"/>
      <c r="Z73" s="243"/>
      <c r="AA73" s="243"/>
      <c r="AB73" s="243"/>
      <c r="AC73" s="256"/>
      <c r="AE73" s="254">
        <v>62</v>
      </c>
      <c r="AF73" s="242"/>
      <c r="AG73" s="243"/>
      <c r="AH73" s="243"/>
      <c r="AI73" s="243"/>
      <c r="AJ73" s="243"/>
      <c r="AK73" s="243"/>
      <c r="AL73" s="243"/>
      <c r="AM73" s="243"/>
      <c r="AN73" s="243"/>
      <c r="AO73" s="243"/>
      <c r="AP73" s="243"/>
      <c r="AQ73" s="243"/>
      <c r="AR73" s="256"/>
      <c r="AT73" s="254">
        <v>62</v>
      </c>
      <c r="AU73" s="242"/>
      <c r="AV73" s="243"/>
      <c r="AW73" s="243"/>
      <c r="AX73" s="243"/>
      <c r="AY73" s="243"/>
      <c r="AZ73" s="243"/>
      <c r="BA73" s="243"/>
      <c r="BB73" s="243"/>
      <c r="BC73" s="243"/>
      <c r="BD73" s="243"/>
      <c r="BE73" s="243"/>
      <c r="BF73" s="243"/>
      <c r="BG73" s="256"/>
    </row>
    <row r="74" spans="1:59">
      <c r="A74" s="254">
        <v>63</v>
      </c>
      <c r="B74" s="242"/>
      <c r="C74" s="243"/>
      <c r="D74" s="243"/>
      <c r="E74" s="243"/>
      <c r="F74" s="243"/>
      <c r="G74" s="243"/>
      <c r="H74" s="243"/>
      <c r="I74" s="243"/>
      <c r="J74" s="243"/>
      <c r="K74" s="243"/>
      <c r="L74" s="243"/>
      <c r="M74" s="243"/>
      <c r="N74" s="256"/>
      <c r="P74" s="254">
        <v>63</v>
      </c>
      <c r="Q74" s="242"/>
      <c r="R74" s="243"/>
      <c r="S74" s="243"/>
      <c r="T74" s="243"/>
      <c r="U74" s="243"/>
      <c r="V74" s="243"/>
      <c r="W74" s="243"/>
      <c r="X74" s="243"/>
      <c r="Y74" s="243"/>
      <c r="Z74" s="243"/>
      <c r="AA74" s="243"/>
      <c r="AB74" s="243"/>
      <c r="AC74" s="256"/>
      <c r="AE74" s="254">
        <v>63</v>
      </c>
      <c r="AF74" s="242"/>
      <c r="AG74" s="243"/>
      <c r="AH74" s="243"/>
      <c r="AI74" s="243"/>
      <c r="AJ74" s="243"/>
      <c r="AK74" s="243"/>
      <c r="AL74" s="243"/>
      <c r="AM74" s="243"/>
      <c r="AN74" s="243"/>
      <c r="AO74" s="243"/>
      <c r="AP74" s="243"/>
      <c r="AQ74" s="243"/>
      <c r="AR74" s="256"/>
      <c r="AT74" s="254">
        <v>63</v>
      </c>
      <c r="AU74" s="242"/>
      <c r="AV74" s="243"/>
      <c r="AW74" s="243"/>
      <c r="AX74" s="243"/>
      <c r="AY74" s="243"/>
      <c r="AZ74" s="243"/>
      <c r="BA74" s="243"/>
      <c r="BB74" s="243"/>
      <c r="BC74" s="243"/>
      <c r="BD74" s="243"/>
      <c r="BE74" s="243"/>
      <c r="BF74" s="243"/>
      <c r="BG74" s="256"/>
    </row>
    <row r="75" spans="1:59">
      <c r="A75" s="254">
        <v>64</v>
      </c>
      <c r="B75" s="242"/>
      <c r="C75" s="243"/>
      <c r="D75" s="243"/>
      <c r="E75" s="243"/>
      <c r="F75" s="243"/>
      <c r="G75" s="243"/>
      <c r="H75" s="243"/>
      <c r="I75" s="243"/>
      <c r="J75" s="243"/>
      <c r="K75" s="243"/>
      <c r="L75" s="243"/>
      <c r="M75" s="243"/>
      <c r="N75" s="256"/>
      <c r="P75" s="254">
        <v>64</v>
      </c>
      <c r="Q75" s="242"/>
      <c r="R75" s="243"/>
      <c r="S75" s="243"/>
      <c r="T75" s="243"/>
      <c r="U75" s="243"/>
      <c r="V75" s="243"/>
      <c r="W75" s="243"/>
      <c r="X75" s="243"/>
      <c r="Y75" s="243"/>
      <c r="Z75" s="243"/>
      <c r="AA75" s="243"/>
      <c r="AB75" s="243"/>
      <c r="AC75" s="256"/>
      <c r="AE75" s="254">
        <v>64</v>
      </c>
      <c r="AF75" s="242"/>
      <c r="AG75" s="243"/>
      <c r="AH75" s="243"/>
      <c r="AI75" s="243"/>
      <c r="AJ75" s="243"/>
      <c r="AK75" s="243"/>
      <c r="AL75" s="243"/>
      <c r="AM75" s="243"/>
      <c r="AN75" s="243"/>
      <c r="AO75" s="243"/>
      <c r="AP75" s="243"/>
      <c r="AQ75" s="243"/>
      <c r="AR75" s="256"/>
      <c r="AT75" s="254">
        <v>64</v>
      </c>
      <c r="AU75" s="242"/>
      <c r="AV75" s="243"/>
      <c r="AW75" s="243"/>
      <c r="AX75" s="243"/>
      <c r="AY75" s="243"/>
      <c r="AZ75" s="243"/>
      <c r="BA75" s="243"/>
      <c r="BB75" s="243"/>
      <c r="BC75" s="243"/>
      <c r="BD75" s="243"/>
      <c r="BE75" s="243"/>
      <c r="BF75" s="243"/>
      <c r="BG75" s="256"/>
    </row>
    <row r="76" spans="1:59">
      <c r="A76" s="254">
        <v>65</v>
      </c>
      <c r="B76" s="242"/>
      <c r="C76" s="243"/>
      <c r="D76" s="243"/>
      <c r="E76" s="243"/>
      <c r="F76" s="243"/>
      <c r="G76" s="243"/>
      <c r="H76" s="243"/>
      <c r="I76" s="243"/>
      <c r="J76" s="243"/>
      <c r="K76" s="243"/>
      <c r="L76" s="243"/>
      <c r="M76" s="243"/>
      <c r="N76" s="256"/>
      <c r="P76" s="254">
        <v>65</v>
      </c>
      <c r="Q76" s="242"/>
      <c r="R76" s="243"/>
      <c r="S76" s="243"/>
      <c r="T76" s="243"/>
      <c r="U76" s="243"/>
      <c r="V76" s="243"/>
      <c r="W76" s="243"/>
      <c r="X76" s="243"/>
      <c r="Y76" s="243"/>
      <c r="Z76" s="243"/>
      <c r="AA76" s="243"/>
      <c r="AB76" s="243"/>
      <c r="AC76" s="256"/>
      <c r="AE76" s="254">
        <v>65</v>
      </c>
      <c r="AF76" s="242"/>
      <c r="AG76" s="243"/>
      <c r="AH76" s="243"/>
      <c r="AI76" s="243"/>
      <c r="AJ76" s="243"/>
      <c r="AK76" s="243"/>
      <c r="AL76" s="243"/>
      <c r="AM76" s="243"/>
      <c r="AN76" s="243"/>
      <c r="AO76" s="243"/>
      <c r="AP76" s="243"/>
      <c r="AQ76" s="243"/>
      <c r="AR76" s="256"/>
      <c r="AT76" s="254">
        <v>65</v>
      </c>
      <c r="AU76" s="242"/>
      <c r="AV76" s="243"/>
      <c r="AW76" s="243"/>
      <c r="AX76" s="243"/>
      <c r="AY76" s="243"/>
      <c r="AZ76" s="243"/>
      <c r="BA76" s="243"/>
      <c r="BB76" s="243"/>
      <c r="BC76" s="243"/>
      <c r="BD76" s="243"/>
      <c r="BE76" s="243"/>
      <c r="BF76" s="243"/>
      <c r="BG76" s="256"/>
    </row>
    <row r="77" spans="1:59">
      <c r="A77" s="254">
        <v>66</v>
      </c>
      <c r="B77" s="242"/>
      <c r="C77" s="243"/>
      <c r="D77" s="243"/>
      <c r="E77" s="243"/>
      <c r="F77" s="243"/>
      <c r="G77" s="243"/>
      <c r="H77" s="243"/>
      <c r="I77" s="243"/>
      <c r="J77" s="243"/>
      <c r="K77" s="243"/>
      <c r="L77" s="243"/>
      <c r="M77" s="243"/>
      <c r="N77" s="256"/>
      <c r="P77" s="254">
        <v>66</v>
      </c>
      <c r="Q77" s="242"/>
      <c r="R77" s="243"/>
      <c r="S77" s="243"/>
      <c r="T77" s="243"/>
      <c r="U77" s="243"/>
      <c r="V77" s="243"/>
      <c r="W77" s="243"/>
      <c r="X77" s="243"/>
      <c r="Y77" s="243"/>
      <c r="Z77" s="243"/>
      <c r="AA77" s="243"/>
      <c r="AB77" s="243"/>
      <c r="AC77" s="256"/>
      <c r="AE77" s="254">
        <v>66</v>
      </c>
      <c r="AF77" s="242"/>
      <c r="AG77" s="243"/>
      <c r="AH77" s="243"/>
      <c r="AI77" s="243"/>
      <c r="AJ77" s="243"/>
      <c r="AK77" s="243"/>
      <c r="AL77" s="243"/>
      <c r="AM77" s="243"/>
      <c r="AN77" s="243"/>
      <c r="AO77" s="243"/>
      <c r="AP77" s="243"/>
      <c r="AQ77" s="243"/>
      <c r="AR77" s="256"/>
      <c r="AT77" s="254">
        <v>66</v>
      </c>
      <c r="AU77" s="242"/>
      <c r="AV77" s="243"/>
      <c r="AW77" s="243"/>
      <c r="AX77" s="243"/>
      <c r="AY77" s="243"/>
      <c r="AZ77" s="243"/>
      <c r="BA77" s="243"/>
      <c r="BB77" s="243"/>
      <c r="BC77" s="243"/>
      <c r="BD77" s="243"/>
      <c r="BE77" s="243"/>
      <c r="BF77" s="243"/>
      <c r="BG77" s="256"/>
    </row>
    <row r="78" spans="1:59">
      <c r="A78" s="254">
        <v>67</v>
      </c>
      <c r="B78" s="242"/>
      <c r="C78" s="243"/>
      <c r="D78" s="243"/>
      <c r="E78" s="243"/>
      <c r="F78" s="243"/>
      <c r="G78" s="243"/>
      <c r="H78" s="243"/>
      <c r="I78" s="243"/>
      <c r="J78" s="243"/>
      <c r="K78" s="243"/>
      <c r="L78" s="243"/>
      <c r="M78" s="243"/>
      <c r="N78" s="256"/>
      <c r="P78" s="254">
        <v>67</v>
      </c>
      <c r="Q78" s="242"/>
      <c r="R78" s="243"/>
      <c r="S78" s="243"/>
      <c r="T78" s="243"/>
      <c r="U78" s="243"/>
      <c r="V78" s="243"/>
      <c r="W78" s="243"/>
      <c r="X78" s="243"/>
      <c r="Y78" s="243"/>
      <c r="Z78" s="243"/>
      <c r="AA78" s="243"/>
      <c r="AB78" s="243"/>
      <c r="AC78" s="256"/>
      <c r="AE78" s="254">
        <v>67</v>
      </c>
      <c r="AF78" s="242"/>
      <c r="AG78" s="243"/>
      <c r="AH78" s="243"/>
      <c r="AI78" s="243"/>
      <c r="AJ78" s="243"/>
      <c r="AK78" s="243"/>
      <c r="AL78" s="243"/>
      <c r="AM78" s="243"/>
      <c r="AN78" s="243"/>
      <c r="AO78" s="243"/>
      <c r="AP78" s="243"/>
      <c r="AQ78" s="243"/>
      <c r="AR78" s="256"/>
      <c r="AT78" s="254">
        <v>67</v>
      </c>
      <c r="AU78" s="242"/>
      <c r="AV78" s="243"/>
      <c r="AW78" s="243"/>
      <c r="AX78" s="243"/>
      <c r="AY78" s="243"/>
      <c r="AZ78" s="243"/>
      <c r="BA78" s="243"/>
      <c r="BB78" s="243"/>
      <c r="BC78" s="243"/>
      <c r="BD78" s="243"/>
      <c r="BE78" s="243"/>
      <c r="BF78" s="243"/>
      <c r="BG78" s="256"/>
    </row>
    <row r="79" spans="1:59">
      <c r="A79" s="254">
        <v>68</v>
      </c>
      <c r="B79" s="242"/>
      <c r="C79" s="243"/>
      <c r="D79" s="243"/>
      <c r="E79" s="243"/>
      <c r="F79" s="243"/>
      <c r="G79" s="243"/>
      <c r="H79" s="243"/>
      <c r="I79" s="243"/>
      <c r="J79" s="243"/>
      <c r="K79" s="243"/>
      <c r="L79" s="243"/>
      <c r="M79" s="243"/>
      <c r="N79" s="256"/>
      <c r="P79" s="254">
        <v>68</v>
      </c>
      <c r="Q79" s="242"/>
      <c r="R79" s="243"/>
      <c r="S79" s="243"/>
      <c r="T79" s="243"/>
      <c r="U79" s="243"/>
      <c r="V79" s="243"/>
      <c r="W79" s="243"/>
      <c r="X79" s="243"/>
      <c r="Y79" s="243"/>
      <c r="Z79" s="243"/>
      <c r="AA79" s="243"/>
      <c r="AB79" s="243"/>
      <c r="AC79" s="256"/>
      <c r="AE79" s="254">
        <v>68</v>
      </c>
      <c r="AF79" s="242"/>
      <c r="AG79" s="243"/>
      <c r="AH79" s="243"/>
      <c r="AI79" s="243"/>
      <c r="AJ79" s="243"/>
      <c r="AK79" s="243"/>
      <c r="AL79" s="243"/>
      <c r="AM79" s="243"/>
      <c r="AN79" s="243"/>
      <c r="AO79" s="243"/>
      <c r="AP79" s="243"/>
      <c r="AQ79" s="243"/>
      <c r="AR79" s="256"/>
      <c r="AT79" s="254">
        <v>68</v>
      </c>
      <c r="AU79" s="242"/>
      <c r="AV79" s="243"/>
      <c r="AW79" s="243"/>
      <c r="AX79" s="243"/>
      <c r="AY79" s="243"/>
      <c r="AZ79" s="243"/>
      <c r="BA79" s="243"/>
      <c r="BB79" s="243"/>
      <c r="BC79" s="243"/>
      <c r="BD79" s="243"/>
      <c r="BE79" s="243"/>
      <c r="BF79" s="243"/>
      <c r="BG79" s="256"/>
    </row>
    <row r="80" spans="1:59">
      <c r="A80" s="254">
        <v>69</v>
      </c>
      <c r="B80" s="242"/>
      <c r="C80" s="243"/>
      <c r="D80" s="243"/>
      <c r="E80" s="243"/>
      <c r="F80" s="243"/>
      <c r="G80" s="243"/>
      <c r="H80" s="243"/>
      <c r="I80" s="243"/>
      <c r="J80" s="243"/>
      <c r="K80" s="243"/>
      <c r="L80" s="243"/>
      <c r="M80" s="243"/>
      <c r="N80" s="256"/>
      <c r="P80" s="254">
        <v>69</v>
      </c>
      <c r="Q80" s="242"/>
      <c r="R80" s="243"/>
      <c r="S80" s="243"/>
      <c r="T80" s="243"/>
      <c r="U80" s="243"/>
      <c r="V80" s="243"/>
      <c r="W80" s="243"/>
      <c r="X80" s="243"/>
      <c r="Y80" s="243"/>
      <c r="Z80" s="243"/>
      <c r="AA80" s="243"/>
      <c r="AB80" s="243"/>
      <c r="AC80" s="256"/>
      <c r="AE80" s="254">
        <v>69</v>
      </c>
      <c r="AF80" s="242"/>
      <c r="AG80" s="243"/>
      <c r="AH80" s="243"/>
      <c r="AI80" s="243"/>
      <c r="AJ80" s="243"/>
      <c r="AK80" s="243"/>
      <c r="AL80" s="243"/>
      <c r="AM80" s="243"/>
      <c r="AN80" s="243"/>
      <c r="AO80" s="243"/>
      <c r="AP80" s="243"/>
      <c r="AQ80" s="243"/>
      <c r="AR80" s="256"/>
      <c r="AT80" s="254">
        <v>69</v>
      </c>
      <c r="AU80" s="242"/>
      <c r="AV80" s="243"/>
      <c r="AW80" s="243"/>
      <c r="AX80" s="243"/>
      <c r="AY80" s="243"/>
      <c r="AZ80" s="243"/>
      <c r="BA80" s="243"/>
      <c r="BB80" s="243"/>
      <c r="BC80" s="243"/>
      <c r="BD80" s="243"/>
      <c r="BE80" s="243"/>
      <c r="BF80" s="243"/>
      <c r="BG80" s="256"/>
    </row>
    <row r="81" spans="1:59">
      <c r="A81" s="254">
        <v>70</v>
      </c>
      <c r="B81" s="242"/>
      <c r="C81" s="243"/>
      <c r="D81" s="243"/>
      <c r="E81" s="243"/>
      <c r="F81" s="243"/>
      <c r="G81" s="243"/>
      <c r="H81" s="243"/>
      <c r="I81" s="243"/>
      <c r="J81" s="243"/>
      <c r="K81" s="243"/>
      <c r="L81" s="243"/>
      <c r="M81" s="243"/>
      <c r="N81" s="256"/>
      <c r="P81" s="254">
        <v>70</v>
      </c>
      <c r="Q81" s="242"/>
      <c r="R81" s="243"/>
      <c r="S81" s="243"/>
      <c r="T81" s="243"/>
      <c r="U81" s="243"/>
      <c r="V81" s="243"/>
      <c r="W81" s="243"/>
      <c r="X81" s="243"/>
      <c r="Y81" s="243"/>
      <c r="Z81" s="243"/>
      <c r="AA81" s="243"/>
      <c r="AB81" s="243"/>
      <c r="AC81" s="256"/>
      <c r="AE81" s="254">
        <v>70</v>
      </c>
      <c r="AF81" s="242"/>
      <c r="AG81" s="243"/>
      <c r="AH81" s="243"/>
      <c r="AI81" s="243"/>
      <c r="AJ81" s="243"/>
      <c r="AK81" s="243"/>
      <c r="AL81" s="243"/>
      <c r="AM81" s="243"/>
      <c r="AN81" s="243"/>
      <c r="AO81" s="243"/>
      <c r="AP81" s="243"/>
      <c r="AQ81" s="243"/>
      <c r="AR81" s="256"/>
      <c r="AT81" s="254">
        <v>70</v>
      </c>
      <c r="AU81" s="242"/>
      <c r="AV81" s="243"/>
      <c r="AW81" s="243"/>
      <c r="AX81" s="243"/>
      <c r="AY81" s="243"/>
      <c r="AZ81" s="243"/>
      <c r="BA81" s="243"/>
      <c r="BB81" s="243"/>
      <c r="BC81" s="243"/>
      <c r="BD81" s="243"/>
      <c r="BE81" s="243"/>
      <c r="BF81" s="243"/>
      <c r="BG81" s="256"/>
    </row>
    <row r="82" spans="1:59">
      <c r="A82" s="254">
        <v>71</v>
      </c>
      <c r="B82" s="242"/>
      <c r="C82" s="243"/>
      <c r="D82" s="243"/>
      <c r="E82" s="243"/>
      <c r="F82" s="243"/>
      <c r="G82" s="243"/>
      <c r="H82" s="243"/>
      <c r="I82" s="243"/>
      <c r="J82" s="243"/>
      <c r="K82" s="243"/>
      <c r="L82" s="243"/>
      <c r="M82" s="243"/>
      <c r="N82" s="256"/>
      <c r="P82" s="254">
        <v>71</v>
      </c>
      <c r="Q82" s="242"/>
      <c r="R82" s="243"/>
      <c r="S82" s="243"/>
      <c r="T82" s="243"/>
      <c r="U82" s="243"/>
      <c r="V82" s="243"/>
      <c r="W82" s="243"/>
      <c r="X82" s="243"/>
      <c r="Y82" s="243"/>
      <c r="Z82" s="243"/>
      <c r="AA82" s="243"/>
      <c r="AB82" s="243"/>
      <c r="AC82" s="256"/>
      <c r="AE82" s="254">
        <v>71</v>
      </c>
      <c r="AF82" s="242"/>
      <c r="AG82" s="243"/>
      <c r="AH82" s="243"/>
      <c r="AI82" s="243"/>
      <c r="AJ82" s="243"/>
      <c r="AK82" s="243"/>
      <c r="AL82" s="243"/>
      <c r="AM82" s="243"/>
      <c r="AN82" s="243"/>
      <c r="AO82" s="243"/>
      <c r="AP82" s="243"/>
      <c r="AQ82" s="243"/>
      <c r="AR82" s="256"/>
      <c r="AT82" s="254">
        <v>71</v>
      </c>
      <c r="AU82" s="242"/>
      <c r="AV82" s="243"/>
      <c r="AW82" s="243"/>
      <c r="AX82" s="243"/>
      <c r="AY82" s="243"/>
      <c r="AZ82" s="243"/>
      <c r="BA82" s="243"/>
      <c r="BB82" s="243"/>
      <c r="BC82" s="243"/>
      <c r="BD82" s="243"/>
      <c r="BE82" s="243"/>
      <c r="BF82" s="243"/>
      <c r="BG82" s="256"/>
    </row>
    <row r="83" spans="1:59">
      <c r="A83" s="254">
        <v>72</v>
      </c>
      <c r="B83" s="242"/>
      <c r="C83" s="243"/>
      <c r="D83" s="243"/>
      <c r="E83" s="243"/>
      <c r="F83" s="243"/>
      <c r="G83" s="243"/>
      <c r="H83" s="243"/>
      <c r="I83" s="243"/>
      <c r="J83" s="243"/>
      <c r="K83" s="243"/>
      <c r="L83" s="243"/>
      <c r="M83" s="243"/>
      <c r="N83" s="256"/>
      <c r="P83" s="254">
        <v>72</v>
      </c>
      <c r="Q83" s="242"/>
      <c r="R83" s="243"/>
      <c r="S83" s="243"/>
      <c r="T83" s="243"/>
      <c r="U83" s="243"/>
      <c r="V83" s="243"/>
      <c r="W83" s="243"/>
      <c r="X83" s="243"/>
      <c r="Y83" s="243"/>
      <c r="Z83" s="243"/>
      <c r="AA83" s="243"/>
      <c r="AB83" s="243"/>
      <c r="AC83" s="256"/>
      <c r="AE83" s="254">
        <v>72</v>
      </c>
      <c r="AF83" s="242"/>
      <c r="AG83" s="243"/>
      <c r="AH83" s="243"/>
      <c r="AI83" s="243"/>
      <c r="AJ83" s="243"/>
      <c r="AK83" s="243"/>
      <c r="AL83" s="243"/>
      <c r="AM83" s="243"/>
      <c r="AN83" s="243"/>
      <c r="AO83" s="243"/>
      <c r="AP83" s="243"/>
      <c r="AQ83" s="243"/>
      <c r="AR83" s="256"/>
      <c r="AT83" s="254">
        <v>72</v>
      </c>
      <c r="AU83" s="242"/>
      <c r="AV83" s="243"/>
      <c r="AW83" s="243"/>
      <c r="AX83" s="243"/>
      <c r="AY83" s="243"/>
      <c r="AZ83" s="243"/>
      <c r="BA83" s="243"/>
      <c r="BB83" s="243"/>
      <c r="BC83" s="243"/>
      <c r="BD83" s="243"/>
      <c r="BE83" s="243"/>
      <c r="BF83" s="243"/>
      <c r="BG83" s="256"/>
    </row>
    <row r="84" spans="1:59">
      <c r="A84" s="254">
        <v>73</v>
      </c>
      <c r="B84" s="242"/>
      <c r="C84" s="243"/>
      <c r="D84" s="243"/>
      <c r="E84" s="243"/>
      <c r="F84" s="243"/>
      <c r="G84" s="243"/>
      <c r="H84" s="243"/>
      <c r="I84" s="243"/>
      <c r="J84" s="243"/>
      <c r="K84" s="243"/>
      <c r="L84" s="243"/>
      <c r="M84" s="243"/>
      <c r="N84" s="256"/>
      <c r="P84" s="254">
        <v>73</v>
      </c>
      <c r="Q84" s="242"/>
      <c r="R84" s="243"/>
      <c r="S84" s="243"/>
      <c r="T84" s="243"/>
      <c r="U84" s="243"/>
      <c r="V84" s="243"/>
      <c r="W84" s="243"/>
      <c r="X84" s="243"/>
      <c r="Y84" s="243"/>
      <c r="Z84" s="243"/>
      <c r="AA84" s="243"/>
      <c r="AB84" s="243"/>
      <c r="AC84" s="256"/>
      <c r="AE84" s="254">
        <v>73</v>
      </c>
      <c r="AF84" s="242"/>
      <c r="AG84" s="243"/>
      <c r="AH84" s="243"/>
      <c r="AI84" s="243"/>
      <c r="AJ84" s="243"/>
      <c r="AK84" s="243"/>
      <c r="AL84" s="243"/>
      <c r="AM84" s="243"/>
      <c r="AN84" s="243"/>
      <c r="AO84" s="243"/>
      <c r="AP84" s="243"/>
      <c r="AQ84" s="243"/>
      <c r="AR84" s="256"/>
      <c r="AT84" s="254">
        <v>73</v>
      </c>
      <c r="AU84" s="242"/>
      <c r="AV84" s="243"/>
      <c r="AW84" s="243"/>
      <c r="AX84" s="243"/>
      <c r="AY84" s="243"/>
      <c r="AZ84" s="243"/>
      <c r="BA84" s="243"/>
      <c r="BB84" s="243"/>
      <c r="BC84" s="243"/>
      <c r="BD84" s="243"/>
      <c r="BE84" s="243"/>
      <c r="BF84" s="243"/>
      <c r="BG84" s="256"/>
    </row>
    <row r="85" spans="1:59">
      <c r="A85" s="254">
        <v>74</v>
      </c>
      <c r="B85" s="242"/>
      <c r="C85" s="243"/>
      <c r="D85" s="243"/>
      <c r="E85" s="243"/>
      <c r="F85" s="243"/>
      <c r="G85" s="243"/>
      <c r="H85" s="243"/>
      <c r="I85" s="243"/>
      <c r="J85" s="243"/>
      <c r="K85" s="243"/>
      <c r="L85" s="243"/>
      <c r="M85" s="243"/>
      <c r="N85" s="256"/>
      <c r="P85" s="254">
        <v>74</v>
      </c>
      <c r="Q85" s="242"/>
      <c r="R85" s="243"/>
      <c r="S85" s="243"/>
      <c r="T85" s="243"/>
      <c r="U85" s="243"/>
      <c r="V85" s="243"/>
      <c r="W85" s="243"/>
      <c r="X85" s="243"/>
      <c r="Y85" s="243"/>
      <c r="Z85" s="243"/>
      <c r="AA85" s="243"/>
      <c r="AB85" s="243"/>
      <c r="AC85" s="256"/>
      <c r="AE85" s="254">
        <v>74</v>
      </c>
      <c r="AF85" s="242"/>
      <c r="AG85" s="243"/>
      <c r="AH85" s="243"/>
      <c r="AI85" s="243"/>
      <c r="AJ85" s="243"/>
      <c r="AK85" s="243"/>
      <c r="AL85" s="243"/>
      <c r="AM85" s="243"/>
      <c r="AN85" s="243"/>
      <c r="AO85" s="243"/>
      <c r="AP85" s="243"/>
      <c r="AQ85" s="243"/>
      <c r="AR85" s="256"/>
      <c r="AT85" s="254">
        <v>74</v>
      </c>
      <c r="AU85" s="242"/>
      <c r="AV85" s="243"/>
      <c r="AW85" s="243"/>
      <c r="AX85" s="243"/>
      <c r="AY85" s="243"/>
      <c r="AZ85" s="243"/>
      <c r="BA85" s="243"/>
      <c r="BB85" s="243"/>
      <c r="BC85" s="243"/>
      <c r="BD85" s="243"/>
      <c r="BE85" s="243"/>
      <c r="BF85" s="243"/>
      <c r="BG85" s="256"/>
    </row>
    <row r="86" spans="1:59">
      <c r="A86" s="254">
        <v>75</v>
      </c>
      <c r="B86" s="242"/>
      <c r="C86" s="243"/>
      <c r="D86" s="243"/>
      <c r="E86" s="243"/>
      <c r="F86" s="243"/>
      <c r="G86" s="243"/>
      <c r="H86" s="243"/>
      <c r="I86" s="243"/>
      <c r="J86" s="243"/>
      <c r="K86" s="243"/>
      <c r="L86" s="243"/>
      <c r="M86" s="243"/>
      <c r="N86" s="256"/>
      <c r="P86" s="254">
        <v>75</v>
      </c>
      <c r="Q86" s="242"/>
      <c r="R86" s="243"/>
      <c r="S86" s="243"/>
      <c r="T86" s="243"/>
      <c r="U86" s="243"/>
      <c r="V86" s="243"/>
      <c r="W86" s="243"/>
      <c r="X86" s="243"/>
      <c r="Y86" s="243"/>
      <c r="Z86" s="243"/>
      <c r="AA86" s="243"/>
      <c r="AB86" s="243"/>
      <c r="AC86" s="256"/>
      <c r="AE86" s="254">
        <v>75</v>
      </c>
      <c r="AF86" s="242"/>
      <c r="AG86" s="243"/>
      <c r="AH86" s="243"/>
      <c r="AI86" s="243"/>
      <c r="AJ86" s="243"/>
      <c r="AK86" s="243"/>
      <c r="AL86" s="243"/>
      <c r="AM86" s="243"/>
      <c r="AN86" s="243"/>
      <c r="AO86" s="243"/>
      <c r="AP86" s="243"/>
      <c r="AQ86" s="243"/>
      <c r="AR86" s="256"/>
      <c r="AT86" s="254">
        <v>75</v>
      </c>
      <c r="AU86" s="242"/>
      <c r="AV86" s="243"/>
      <c r="AW86" s="243"/>
      <c r="AX86" s="243"/>
      <c r="AY86" s="243"/>
      <c r="AZ86" s="243"/>
      <c r="BA86" s="243"/>
      <c r="BB86" s="243"/>
      <c r="BC86" s="243"/>
      <c r="BD86" s="243"/>
      <c r="BE86" s="243"/>
      <c r="BF86" s="243"/>
      <c r="BG86" s="256"/>
    </row>
    <row r="87" spans="1:59">
      <c r="A87" s="254">
        <v>76</v>
      </c>
      <c r="B87" s="242"/>
      <c r="C87" s="243"/>
      <c r="D87" s="243"/>
      <c r="E87" s="243"/>
      <c r="F87" s="243"/>
      <c r="G87" s="243"/>
      <c r="H87" s="243"/>
      <c r="I87" s="243"/>
      <c r="J87" s="243"/>
      <c r="K87" s="243"/>
      <c r="L87" s="243"/>
      <c r="M87" s="243"/>
      <c r="N87" s="256"/>
      <c r="P87" s="254">
        <v>76</v>
      </c>
      <c r="Q87" s="242"/>
      <c r="R87" s="243"/>
      <c r="S87" s="243"/>
      <c r="T87" s="243"/>
      <c r="U87" s="243"/>
      <c r="V87" s="243"/>
      <c r="W87" s="243"/>
      <c r="X87" s="243"/>
      <c r="Y87" s="243"/>
      <c r="Z87" s="243"/>
      <c r="AA87" s="243"/>
      <c r="AB87" s="243"/>
      <c r="AC87" s="256"/>
      <c r="AE87" s="254">
        <v>76</v>
      </c>
      <c r="AF87" s="242"/>
      <c r="AG87" s="243"/>
      <c r="AH87" s="243"/>
      <c r="AI87" s="243"/>
      <c r="AJ87" s="243"/>
      <c r="AK87" s="243"/>
      <c r="AL87" s="243"/>
      <c r="AM87" s="243"/>
      <c r="AN87" s="243"/>
      <c r="AO87" s="243"/>
      <c r="AP87" s="243"/>
      <c r="AQ87" s="243"/>
      <c r="AR87" s="256"/>
      <c r="AT87" s="254">
        <v>76</v>
      </c>
      <c r="AU87" s="242"/>
      <c r="AV87" s="243"/>
      <c r="AW87" s="243"/>
      <c r="AX87" s="243"/>
      <c r="AY87" s="243"/>
      <c r="AZ87" s="243"/>
      <c r="BA87" s="243"/>
      <c r="BB87" s="243"/>
      <c r="BC87" s="243"/>
      <c r="BD87" s="243"/>
      <c r="BE87" s="243"/>
      <c r="BF87" s="243"/>
      <c r="BG87" s="256"/>
    </row>
    <row r="88" spans="1:59">
      <c r="A88" s="254">
        <v>77</v>
      </c>
      <c r="B88" s="242"/>
      <c r="C88" s="243"/>
      <c r="D88" s="243"/>
      <c r="E88" s="243"/>
      <c r="F88" s="243"/>
      <c r="G88" s="243"/>
      <c r="H88" s="243"/>
      <c r="I88" s="243"/>
      <c r="J88" s="243"/>
      <c r="K88" s="243"/>
      <c r="L88" s="243"/>
      <c r="M88" s="243"/>
      <c r="N88" s="256"/>
      <c r="P88" s="254">
        <v>77</v>
      </c>
      <c r="Q88" s="242"/>
      <c r="R88" s="243"/>
      <c r="S88" s="243"/>
      <c r="T88" s="243"/>
      <c r="U88" s="243"/>
      <c r="V88" s="243"/>
      <c r="W88" s="243"/>
      <c r="X88" s="243"/>
      <c r="Y88" s="243"/>
      <c r="Z88" s="243"/>
      <c r="AA88" s="243"/>
      <c r="AB88" s="243"/>
      <c r="AC88" s="256"/>
      <c r="AE88" s="254">
        <v>77</v>
      </c>
      <c r="AF88" s="242"/>
      <c r="AG88" s="243"/>
      <c r="AH88" s="243"/>
      <c r="AI88" s="243"/>
      <c r="AJ88" s="243"/>
      <c r="AK88" s="243"/>
      <c r="AL88" s="243"/>
      <c r="AM88" s="243"/>
      <c r="AN88" s="243"/>
      <c r="AO88" s="243"/>
      <c r="AP88" s="243"/>
      <c r="AQ88" s="243"/>
      <c r="AR88" s="256"/>
      <c r="AT88" s="254">
        <v>77</v>
      </c>
      <c r="AU88" s="242"/>
      <c r="AV88" s="243"/>
      <c r="AW88" s="243"/>
      <c r="AX88" s="243"/>
      <c r="AY88" s="243"/>
      <c r="AZ88" s="243"/>
      <c r="BA88" s="243"/>
      <c r="BB88" s="243"/>
      <c r="BC88" s="243"/>
      <c r="BD88" s="243"/>
      <c r="BE88" s="243"/>
      <c r="BF88" s="243"/>
      <c r="BG88" s="256"/>
    </row>
    <row r="89" spans="1:59">
      <c r="A89" s="254">
        <v>78</v>
      </c>
      <c r="B89" s="242"/>
      <c r="C89" s="243"/>
      <c r="D89" s="243"/>
      <c r="E89" s="243"/>
      <c r="F89" s="243"/>
      <c r="G89" s="243"/>
      <c r="H89" s="243"/>
      <c r="I89" s="243"/>
      <c r="J89" s="243"/>
      <c r="K89" s="243"/>
      <c r="L89" s="243"/>
      <c r="M89" s="243"/>
      <c r="N89" s="256"/>
      <c r="P89" s="254">
        <v>78</v>
      </c>
      <c r="Q89" s="242"/>
      <c r="R89" s="243"/>
      <c r="S89" s="243"/>
      <c r="T89" s="243"/>
      <c r="U89" s="243"/>
      <c r="V89" s="243"/>
      <c r="W89" s="243"/>
      <c r="X89" s="243"/>
      <c r="Y89" s="243"/>
      <c r="Z89" s="243"/>
      <c r="AA89" s="243"/>
      <c r="AB89" s="243"/>
      <c r="AC89" s="256"/>
      <c r="AE89" s="254">
        <v>78</v>
      </c>
      <c r="AF89" s="242"/>
      <c r="AG89" s="243"/>
      <c r="AH89" s="243"/>
      <c r="AI89" s="243"/>
      <c r="AJ89" s="243"/>
      <c r="AK89" s="243"/>
      <c r="AL89" s="243"/>
      <c r="AM89" s="243"/>
      <c r="AN89" s="243"/>
      <c r="AO89" s="243"/>
      <c r="AP89" s="243"/>
      <c r="AQ89" s="243"/>
      <c r="AR89" s="256"/>
      <c r="AT89" s="254">
        <v>78</v>
      </c>
      <c r="AU89" s="242"/>
      <c r="AV89" s="243"/>
      <c r="AW89" s="243"/>
      <c r="AX89" s="243"/>
      <c r="AY89" s="243"/>
      <c r="AZ89" s="243"/>
      <c r="BA89" s="243"/>
      <c r="BB89" s="243"/>
      <c r="BC89" s="243"/>
      <c r="BD89" s="243"/>
      <c r="BE89" s="243"/>
      <c r="BF89" s="243"/>
      <c r="BG89" s="256"/>
    </row>
    <row r="90" spans="1:59">
      <c r="A90" s="254">
        <v>79</v>
      </c>
      <c r="B90" s="242"/>
      <c r="C90" s="243"/>
      <c r="D90" s="243"/>
      <c r="E90" s="243"/>
      <c r="F90" s="243"/>
      <c r="G90" s="243"/>
      <c r="H90" s="243"/>
      <c r="I90" s="243"/>
      <c r="J90" s="243"/>
      <c r="K90" s="243"/>
      <c r="L90" s="243"/>
      <c r="M90" s="243"/>
      <c r="N90" s="256"/>
      <c r="P90" s="254">
        <v>79</v>
      </c>
      <c r="Q90" s="242"/>
      <c r="R90" s="243"/>
      <c r="S90" s="243"/>
      <c r="T90" s="243"/>
      <c r="U90" s="243"/>
      <c r="V90" s="243"/>
      <c r="W90" s="243"/>
      <c r="X90" s="243"/>
      <c r="Y90" s="243"/>
      <c r="Z90" s="243"/>
      <c r="AA90" s="243"/>
      <c r="AB90" s="243"/>
      <c r="AC90" s="256"/>
      <c r="AE90" s="254">
        <v>79</v>
      </c>
      <c r="AF90" s="242"/>
      <c r="AG90" s="243"/>
      <c r="AH90" s="243"/>
      <c r="AI90" s="243"/>
      <c r="AJ90" s="243"/>
      <c r="AK90" s="243"/>
      <c r="AL90" s="243"/>
      <c r="AM90" s="243"/>
      <c r="AN90" s="243"/>
      <c r="AO90" s="243"/>
      <c r="AP90" s="243"/>
      <c r="AQ90" s="243"/>
      <c r="AR90" s="256"/>
      <c r="AT90" s="254">
        <v>79</v>
      </c>
      <c r="AU90" s="242"/>
      <c r="AV90" s="243"/>
      <c r="AW90" s="243"/>
      <c r="AX90" s="243"/>
      <c r="AY90" s="243"/>
      <c r="AZ90" s="243"/>
      <c r="BA90" s="243"/>
      <c r="BB90" s="243"/>
      <c r="BC90" s="243"/>
      <c r="BD90" s="243"/>
      <c r="BE90" s="243"/>
      <c r="BF90" s="243"/>
      <c r="BG90" s="256"/>
    </row>
    <row r="91" spans="1:59">
      <c r="A91" s="254">
        <v>80</v>
      </c>
      <c r="B91" s="242"/>
      <c r="C91" s="243"/>
      <c r="D91" s="243"/>
      <c r="E91" s="243"/>
      <c r="F91" s="243"/>
      <c r="G91" s="243"/>
      <c r="H91" s="243"/>
      <c r="I91" s="243"/>
      <c r="J91" s="243"/>
      <c r="K91" s="243"/>
      <c r="L91" s="243"/>
      <c r="M91" s="243"/>
      <c r="N91" s="256"/>
      <c r="P91" s="254">
        <v>80</v>
      </c>
      <c r="Q91" s="242"/>
      <c r="R91" s="243"/>
      <c r="S91" s="243"/>
      <c r="T91" s="243"/>
      <c r="U91" s="243"/>
      <c r="V91" s="243"/>
      <c r="W91" s="243"/>
      <c r="X91" s="243"/>
      <c r="Y91" s="243"/>
      <c r="Z91" s="243"/>
      <c r="AA91" s="243"/>
      <c r="AB91" s="243"/>
      <c r="AC91" s="256"/>
      <c r="AE91" s="254">
        <v>80</v>
      </c>
      <c r="AF91" s="242"/>
      <c r="AG91" s="243"/>
      <c r="AH91" s="243"/>
      <c r="AI91" s="243"/>
      <c r="AJ91" s="243"/>
      <c r="AK91" s="243"/>
      <c r="AL91" s="243"/>
      <c r="AM91" s="243"/>
      <c r="AN91" s="243"/>
      <c r="AO91" s="243"/>
      <c r="AP91" s="243"/>
      <c r="AQ91" s="243"/>
      <c r="AR91" s="256"/>
      <c r="AT91" s="254">
        <v>80</v>
      </c>
      <c r="AU91" s="242"/>
      <c r="AV91" s="243"/>
      <c r="AW91" s="243"/>
      <c r="AX91" s="243"/>
      <c r="AY91" s="243"/>
      <c r="AZ91" s="243"/>
      <c r="BA91" s="243"/>
      <c r="BB91" s="243"/>
      <c r="BC91" s="243"/>
      <c r="BD91" s="243"/>
      <c r="BE91" s="243"/>
      <c r="BF91" s="243"/>
      <c r="BG91" s="256"/>
    </row>
    <row r="92" spans="1:59">
      <c r="A92" s="254">
        <v>81</v>
      </c>
      <c r="B92" s="242"/>
      <c r="C92" s="243"/>
      <c r="D92" s="243"/>
      <c r="E92" s="243"/>
      <c r="F92" s="243"/>
      <c r="G92" s="243"/>
      <c r="H92" s="243"/>
      <c r="I92" s="243"/>
      <c r="J92" s="243"/>
      <c r="K92" s="243"/>
      <c r="L92" s="243"/>
      <c r="M92" s="243"/>
      <c r="N92" s="256"/>
      <c r="P92" s="254">
        <v>81</v>
      </c>
      <c r="Q92" s="242"/>
      <c r="R92" s="243"/>
      <c r="S92" s="243"/>
      <c r="T92" s="243"/>
      <c r="U92" s="243"/>
      <c r="V92" s="243"/>
      <c r="W92" s="243"/>
      <c r="X92" s="243"/>
      <c r="Y92" s="243"/>
      <c r="Z92" s="243"/>
      <c r="AA92" s="243"/>
      <c r="AB92" s="243"/>
      <c r="AC92" s="256"/>
      <c r="AE92" s="254">
        <v>81</v>
      </c>
      <c r="AF92" s="242"/>
      <c r="AG92" s="243"/>
      <c r="AH92" s="243"/>
      <c r="AI92" s="243"/>
      <c r="AJ92" s="243"/>
      <c r="AK92" s="243"/>
      <c r="AL92" s="243"/>
      <c r="AM92" s="243"/>
      <c r="AN92" s="243"/>
      <c r="AO92" s="243"/>
      <c r="AP92" s="243"/>
      <c r="AQ92" s="243"/>
      <c r="AR92" s="256"/>
      <c r="AT92" s="254">
        <v>81</v>
      </c>
      <c r="AU92" s="242"/>
      <c r="AV92" s="243"/>
      <c r="AW92" s="243"/>
      <c r="AX92" s="243"/>
      <c r="AY92" s="243"/>
      <c r="AZ92" s="243"/>
      <c r="BA92" s="243"/>
      <c r="BB92" s="243"/>
      <c r="BC92" s="243"/>
      <c r="BD92" s="243"/>
      <c r="BE92" s="243"/>
      <c r="BF92" s="243"/>
      <c r="BG92" s="256"/>
    </row>
    <row r="93" spans="1:59">
      <c r="A93" s="254">
        <v>82</v>
      </c>
      <c r="B93" s="242"/>
      <c r="C93" s="243"/>
      <c r="D93" s="243"/>
      <c r="E93" s="243"/>
      <c r="F93" s="243"/>
      <c r="G93" s="243"/>
      <c r="H93" s="243"/>
      <c r="I93" s="243"/>
      <c r="J93" s="243"/>
      <c r="K93" s="243"/>
      <c r="L93" s="243"/>
      <c r="M93" s="243"/>
      <c r="N93" s="256"/>
      <c r="P93" s="254">
        <v>82</v>
      </c>
      <c r="Q93" s="242"/>
      <c r="R93" s="243"/>
      <c r="S93" s="243"/>
      <c r="T93" s="243"/>
      <c r="U93" s="243"/>
      <c r="V93" s="243"/>
      <c r="W93" s="243"/>
      <c r="X93" s="243"/>
      <c r="Y93" s="243"/>
      <c r="Z93" s="243"/>
      <c r="AA93" s="243"/>
      <c r="AB93" s="243"/>
      <c r="AC93" s="256"/>
      <c r="AE93" s="254">
        <v>82</v>
      </c>
      <c r="AF93" s="242"/>
      <c r="AG93" s="243"/>
      <c r="AH93" s="243"/>
      <c r="AI93" s="243"/>
      <c r="AJ93" s="243"/>
      <c r="AK93" s="243"/>
      <c r="AL93" s="243"/>
      <c r="AM93" s="243"/>
      <c r="AN93" s="243"/>
      <c r="AO93" s="243"/>
      <c r="AP93" s="243"/>
      <c r="AQ93" s="243"/>
      <c r="AR93" s="256"/>
      <c r="AT93" s="254">
        <v>82</v>
      </c>
      <c r="AU93" s="242"/>
      <c r="AV93" s="243"/>
      <c r="AW93" s="243"/>
      <c r="AX93" s="243"/>
      <c r="AY93" s="243"/>
      <c r="AZ93" s="243"/>
      <c r="BA93" s="243"/>
      <c r="BB93" s="243"/>
      <c r="BC93" s="243"/>
      <c r="BD93" s="243"/>
      <c r="BE93" s="243"/>
      <c r="BF93" s="243"/>
      <c r="BG93" s="256"/>
    </row>
    <row r="94" spans="1:59">
      <c r="A94" s="254">
        <v>83</v>
      </c>
      <c r="B94" s="242"/>
      <c r="C94" s="243"/>
      <c r="D94" s="243"/>
      <c r="E94" s="243"/>
      <c r="F94" s="243"/>
      <c r="G94" s="243"/>
      <c r="H94" s="243"/>
      <c r="I94" s="243"/>
      <c r="J94" s="243"/>
      <c r="K94" s="243"/>
      <c r="L94" s="243"/>
      <c r="M94" s="243"/>
      <c r="N94" s="256"/>
      <c r="P94" s="254">
        <v>83</v>
      </c>
      <c r="Q94" s="242"/>
      <c r="R94" s="243"/>
      <c r="S94" s="243"/>
      <c r="T94" s="243"/>
      <c r="U94" s="243"/>
      <c r="V94" s="243"/>
      <c r="W94" s="243"/>
      <c r="X94" s="243"/>
      <c r="Y94" s="243"/>
      <c r="Z94" s="243"/>
      <c r="AA94" s="243"/>
      <c r="AB94" s="243"/>
      <c r="AC94" s="256"/>
      <c r="AE94" s="254">
        <v>83</v>
      </c>
      <c r="AF94" s="242"/>
      <c r="AG94" s="243"/>
      <c r="AH94" s="243"/>
      <c r="AI94" s="243"/>
      <c r="AJ94" s="243"/>
      <c r="AK94" s="243"/>
      <c r="AL94" s="243"/>
      <c r="AM94" s="243"/>
      <c r="AN94" s="243"/>
      <c r="AO94" s="243"/>
      <c r="AP94" s="243"/>
      <c r="AQ94" s="243"/>
      <c r="AR94" s="256"/>
      <c r="AT94" s="254">
        <v>83</v>
      </c>
      <c r="AU94" s="242"/>
      <c r="AV94" s="243"/>
      <c r="AW94" s="243"/>
      <c r="AX94" s="243"/>
      <c r="AY94" s="243"/>
      <c r="AZ94" s="243"/>
      <c r="BA94" s="243"/>
      <c r="BB94" s="243"/>
      <c r="BC94" s="243"/>
      <c r="BD94" s="243"/>
      <c r="BE94" s="243"/>
      <c r="BF94" s="243"/>
      <c r="BG94" s="256"/>
    </row>
    <row r="95" spans="1:59">
      <c r="A95" s="254">
        <v>84</v>
      </c>
      <c r="B95" s="242"/>
      <c r="C95" s="243"/>
      <c r="D95" s="243"/>
      <c r="E95" s="243"/>
      <c r="F95" s="243"/>
      <c r="G95" s="243"/>
      <c r="H95" s="243"/>
      <c r="I95" s="243"/>
      <c r="J95" s="243"/>
      <c r="K95" s="243"/>
      <c r="L95" s="243"/>
      <c r="M95" s="243"/>
      <c r="N95" s="256"/>
      <c r="P95" s="254">
        <v>84</v>
      </c>
      <c r="Q95" s="242"/>
      <c r="R95" s="243"/>
      <c r="S95" s="243"/>
      <c r="T95" s="243"/>
      <c r="U95" s="243"/>
      <c r="V95" s="243"/>
      <c r="W95" s="243"/>
      <c r="X95" s="243"/>
      <c r="Y95" s="243"/>
      <c r="Z95" s="243"/>
      <c r="AA95" s="243"/>
      <c r="AB95" s="243"/>
      <c r="AC95" s="256"/>
      <c r="AE95" s="254">
        <v>84</v>
      </c>
      <c r="AF95" s="242"/>
      <c r="AG95" s="243"/>
      <c r="AH95" s="243"/>
      <c r="AI95" s="243"/>
      <c r="AJ95" s="243"/>
      <c r="AK95" s="243"/>
      <c r="AL95" s="243"/>
      <c r="AM95" s="243"/>
      <c r="AN95" s="243"/>
      <c r="AO95" s="243"/>
      <c r="AP95" s="243"/>
      <c r="AQ95" s="243"/>
      <c r="AR95" s="256"/>
      <c r="AT95" s="254">
        <v>84</v>
      </c>
      <c r="AU95" s="242"/>
      <c r="AV95" s="243"/>
      <c r="AW95" s="243"/>
      <c r="AX95" s="243"/>
      <c r="AY95" s="243"/>
      <c r="AZ95" s="243"/>
      <c r="BA95" s="243"/>
      <c r="BB95" s="243"/>
      <c r="BC95" s="243"/>
      <c r="BD95" s="243"/>
      <c r="BE95" s="243"/>
      <c r="BF95" s="243"/>
      <c r="BG95" s="256"/>
    </row>
    <row r="96" spans="1:59">
      <c r="A96" s="254">
        <v>85</v>
      </c>
      <c r="B96" s="242"/>
      <c r="C96" s="243"/>
      <c r="D96" s="243"/>
      <c r="E96" s="243"/>
      <c r="F96" s="243"/>
      <c r="G96" s="243"/>
      <c r="H96" s="243"/>
      <c r="I96" s="243"/>
      <c r="J96" s="243"/>
      <c r="K96" s="243"/>
      <c r="L96" s="243"/>
      <c r="M96" s="243"/>
      <c r="N96" s="256"/>
      <c r="P96" s="254">
        <v>85</v>
      </c>
      <c r="Q96" s="242"/>
      <c r="R96" s="243"/>
      <c r="S96" s="243"/>
      <c r="T96" s="243"/>
      <c r="U96" s="243"/>
      <c r="V96" s="243"/>
      <c r="W96" s="243"/>
      <c r="X96" s="243"/>
      <c r="Y96" s="243"/>
      <c r="Z96" s="243"/>
      <c r="AA96" s="243"/>
      <c r="AB96" s="243"/>
      <c r="AC96" s="256"/>
      <c r="AE96" s="254">
        <v>85</v>
      </c>
      <c r="AF96" s="242"/>
      <c r="AG96" s="243"/>
      <c r="AH96" s="243"/>
      <c r="AI96" s="243"/>
      <c r="AJ96" s="243"/>
      <c r="AK96" s="243"/>
      <c r="AL96" s="243"/>
      <c r="AM96" s="243"/>
      <c r="AN96" s="243"/>
      <c r="AO96" s="243"/>
      <c r="AP96" s="243"/>
      <c r="AQ96" s="243"/>
      <c r="AR96" s="256"/>
      <c r="AT96" s="254">
        <v>85</v>
      </c>
      <c r="AU96" s="242"/>
      <c r="AV96" s="243"/>
      <c r="AW96" s="243"/>
      <c r="AX96" s="243"/>
      <c r="AY96" s="243"/>
      <c r="AZ96" s="243"/>
      <c r="BA96" s="243"/>
      <c r="BB96" s="243"/>
      <c r="BC96" s="243"/>
      <c r="BD96" s="243"/>
      <c r="BE96" s="243"/>
      <c r="BF96" s="243"/>
      <c r="BG96" s="256"/>
    </row>
    <row r="97" spans="1:59">
      <c r="A97" s="254">
        <v>86</v>
      </c>
      <c r="B97" s="242"/>
      <c r="C97" s="243"/>
      <c r="D97" s="243"/>
      <c r="E97" s="243"/>
      <c r="F97" s="243"/>
      <c r="G97" s="243"/>
      <c r="H97" s="243"/>
      <c r="I97" s="243"/>
      <c r="J97" s="243"/>
      <c r="K97" s="243"/>
      <c r="L97" s="243"/>
      <c r="M97" s="243"/>
      <c r="N97" s="256"/>
      <c r="P97" s="254">
        <v>86</v>
      </c>
      <c r="Q97" s="242"/>
      <c r="R97" s="243"/>
      <c r="S97" s="243"/>
      <c r="T97" s="243"/>
      <c r="U97" s="243"/>
      <c r="V97" s="243"/>
      <c r="W97" s="243"/>
      <c r="X97" s="243"/>
      <c r="Y97" s="243"/>
      <c r="Z97" s="243"/>
      <c r="AA97" s="243"/>
      <c r="AB97" s="243"/>
      <c r="AC97" s="256"/>
      <c r="AE97" s="254">
        <v>86</v>
      </c>
      <c r="AF97" s="242"/>
      <c r="AG97" s="243"/>
      <c r="AH97" s="243"/>
      <c r="AI97" s="243"/>
      <c r="AJ97" s="243"/>
      <c r="AK97" s="243"/>
      <c r="AL97" s="243"/>
      <c r="AM97" s="243"/>
      <c r="AN97" s="243"/>
      <c r="AO97" s="243"/>
      <c r="AP97" s="243"/>
      <c r="AQ97" s="243"/>
      <c r="AR97" s="256"/>
      <c r="AT97" s="254">
        <v>86</v>
      </c>
      <c r="AU97" s="242"/>
      <c r="AV97" s="243"/>
      <c r="AW97" s="243"/>
      <c r="AX97" s="243"/>
      <c r="AY97" s="243"/>
      <c r="AZ97" s="243"/>
      <c r="BA97" s="243"/>
      <c r="BB97" s="243"/>
      <c r="BC97" s="243"/>
      <c r="BD97" s="243"/>
      <c r="BE97" s="243"/>
      <c r="BF97" s="243"/>
      <c r="BG97" s="256"/>
    </row>
    <row r="98" spans="1:59">
      <c r="A98" s="254">
        <v>87</v>
      </c>
      <c r="B98" s="242"/>
      <c r="C98" s="243"/>
      <c r="D98" s="243"/>
      <c r="E98" s="243"/>
      <c r="F98" s="243"/>
      <c r="G98" s="243"/>
      <c r="H98" s="243"/>
      <c r="I98" s="243"/>
      <c r="J98" s="243"/>
      <c r="K98" s="243"/>
      <c r="L98" s="243"/>
      <c r="M98" s="243"/>
      <c r="N98" s="256"/>
      <c r="P98" s="254">
        <v>87</v>
      </c>
      <c r="Q98" s="242"/>
      <c r="R98" s="243"/>
      <c r="S98" s="243"/>
      <c r="T98" s="243"/>
      <c r="U98" s="243"/>
      <c r="V98" s="243"/>
      <c r="W98" s="243"/>
      <c r="X98" s="243"/>
      <c r="Y98" s="243"/>
      <c r="Z98" s="243"/>
      <c r="AA98" s="243"/>
      <c r="AB98" s="243"/>
      <c r="AC98" s="256"/>
      <c r="AE98" s="254">
        <v>87</v>
      </c>
      <c r="AF98" s="242"/>
      <c r="AG98" s="243"/>
      <c r="AH98" s="243"/>
      <c r="AI98" s="243"/>
      <c r="AJ98" s="243"/>
      <c r="AK98" s="243"/>
      <c r="AL98" s="243"/>
      <c r="AM98" s="243"/>
      <c r="AN98" s="243"/>
      <c r="AO98" s="243"/>
      <c r="AP98" s="243"/>
      <c r="AQ98" s="243"/>
      <c r="AR98" s="256"/>
      <c r="AT98" s="254">
        <v>87</v>
      </c>
      <c r="AU98" s="242"/>
      <c r="AV98" s="243"/>
      <c r="AW98" s="243"/>
      <c r="AX98" s="243"/>
      <c r="AY98" s="243"/>
      <c r="AZ98" s="243"/>
      <c r="BA98" s="243"/>
      <c r="BB98" s="243"/>
      <c r="BC98" s="243"/>
      <c r="BD98" s="243"/>
      <c r="BE98" s="243"/>
      <c r="BF98" s="243"/>
      <c r="BG98" s="256"/>
    </row>
    <row r="99" spans="1:59">
      <c r="A99" s="254">
        <v>88</v>
      </c>
      <c r="B99" s="242"/>
      <c r="C99" s="243"/>
      <c r="D99" s="243"/>
      <c r="E99" s="243"/>
      <c r="F99" s="243"/>
      <c r="G99" s="243"/>
      <c r="H99" s="243"/>
      <c r="I99" s="243"/>
      <c r="J99" s="243"/>
      <c r="K99" s="243"/>
      <c r="L99" s="243"/>
      <c r="M99" s="243"/>
      <c r="N99" s="256"/>
      <c r="P99" s="254">
        <v>88</v>
      </c>
      <c r="Q99" s="242"/>
      <c r="R99" s="243"/>
      <c r="S99" s="243"/>
      <c r="T99" s="243"/>
      <c r="U99" s="243"/>
      <c r="V99" s="243"/>
      <c r="W99" s="243"/>
      <c r="X99" s="243"/>
      <c r="Y99" s="243"/>
      <c r="Z99" s="243"/>
      <c r="AA99" s="243"/>
      <c r="AB99" s="243"/>
      <c r="AC99" s="256"/>
      <c r="AE99" s="254">
        <v>88</v>
      </c>
      <c r="AF99" s="242"/>
      <c r="AG99" s="243"/>
      <c r="AH99" s="243"/>
      <c r="AI99" s="243"/>
      <c r="AJ99" s="243"/>
      <c r="AK99" s="243"/>
      <c r="AL99" s="243"/>
      <c r="AM99" s="243"/>
      <c r="AN99" s="243"/>
      <c r="AO99" s="243"/>
      <c r="AP99" s="243"/>
      <c r="AQ99" s="243"/>
      <c r="AR99" s="256"/>
      <c r="AT99" s="254">
        <v>88</v>
      </c>
      <c r="AU99" s="242"/>
      <c r="AV99" s="243"/>
      <c r="AW99" s="243"/>
      <c r="AX99" s="243"/>
      <c r="AY99" s="243"/>
      <c r="AZ99" s="243"/>
      <c r="BA99" s="243"/>
      <c r="BB99" s="243"/>
      <c r="BC99" s="243"/>
      <c r="BD99" s="243"/>
      <c r="BE99" s="243"/>
      <c r="BF99" s="243"/>
      <c r="BG99" s="256"/>
    </row>
    <row r="100" spans="1:59">
      <c r="A100" s="254">
        <v>89</v>
      </c>
      <c r="B100" s="242"/>
      <c r="C100" s="243"/>
      <c r="D100" s="243"/>
      <c r="E100" s="243"/>
      <c r="F100" s="243"/>
      <c r="G100" s="243"/>
      <c r="H100" s="243"/>
      <c r="I100" s="243"/>
      <c r="J100" s="243"/>
      <c r="K100" s="243"/>
      <c r="L100" s="243"/>
      <c r="M100" s="243"/>
      <c r="N100" s="256"/>
      <c r="P100" s="254">
        <v>89</v>
      </c>
      <c r="Q100" s="242"/>
      <c r="R100" s="243"/>
      <c r="S100" s="243"/>
      <c r="T100" s="243"/>
      <c r="U100" s="243"/>
      <c r="V100" s="243"/>
      <c r="W100" s="243"/>
      <c r="X100" s="243"/>
      <c r="Y100" s="243"/>
      <c r="Z100" s="243"/>
      <c r="AA100" s="243"/>
      <c r="AB100" s="243"/>
      <c r="AC100" s="256"/>
      <c r="AE100" s="254">
        <v>89</v>
      </c>
      <c r="AF100" s="242"/>
      <c r="AG100" s="243"/>
      <c r="AH100" s="243"/>
      <c r="AI100" s="243"/>
      <c r="AJ100" s="243"/>
      <c r="AK100" s="243"/>
      <c r="AL100" s="243"/>
      <c r="AM100" s="243"/>
      <c r="AN100" s="243"/>
      <c r="AO100" s="243"/>
      <c r="AP100" s="243"/>
      <c r="AQ100" s="243"/>
      <c r="AR100" s="256"/>
      <c r="AT100" s="254">
        <v>89</v>
      </c>
      <c r="AU100" s="242"/>
      <c r="AV100" s="243"/>
      <c r="AW100" s="243"/>
      <c r="AX100" s="243"/>
      <c r="AY100" s="243"/>
      <c r="AZ100" s="243"/>
      <c r="BA100" s="243"/>
      <c r="BB100" s="243"/>
      <c r="BC100" s="243"/>
      <c r="BD100" s="243"/>
      <c r="BE100" s="243"/>
      <c r="BF100" s="243"/>
      <c r="BG100" s="256"/>
    </row>
    <row r="101" spans="1:59">
      <c r="A101" s="254">
        <v>90</v>
      </c>
      <c r="B101" s="242"/>
      <c r="C101" s="243"/>
      <c r="D101" s="243"/>
      <c r="E101" s="243"/>
      <c r="F101" s="243"/>
      <c r="G101" s="243"/>
      <c r="H101" s="243"/>
      <c r="I101" s="243"/>
      <c r="J101" s="243"/>
      <c r="K101" s="243"/>
      <c r="L101" s="243"/>
      <c r="M101" s="243"/>
      <c r="N101" s="256"/>
      <c r="P101" s="254">
        <v>90</v>
      </c>
      <c r="Q101" s="242"/>
      <c r="R101" s="243"/>
      <c r="S101" s="243"/>
      <c r="T101" s="243"/>
      <c r="U101" s="243"/>
      <c r="V101" s="243"/>
      <c r="W101" s="243"/>
      <c r="X101" s="243"/>
      <c r="Y101" s="243"/>
      <c r="Z101" s="243"/>
      <c r="AA101" s="243"/>
      <c r="AB101" s="243"/>
      <c r="AC101" s="256"/>
      <c r="AE101" s="254">
        <v>90</v>
      </c>
      <c r="AF101" s="242"/>
      <c r="AG101" s="243"/>
      <c r="AH101" s="243"/>
      <c r="AI101" s="243"/>
      <c r="AJ101" s="243"/>
      <c r="AK101" s="243"/>
      <c r="AL101" s="243"/>
      <c r="AM101" s="243"/>
      <c r="AN101" s="243"/>
      <c r="AO101" s="243"/>
      <c r="AP101" s="243"/>
      <c r="AQ101" s="243"/>
      <c r="AR101" s="256"/>
      <c r="AT101" s="254">
        <v>90</v>
      </c>
      <c r="AU101" s="242"/>
      <c r="AV101" s="243"/>
      <c r="AW101" s="243"/>
      <c r="AX101" s="243"/>
      <c r="AY101" s="243"/>
      <c r="AZ101" s="243"/>
      <c r="BA101" s="243"/>
      <c r="BB101" s="243"/>
      <c r="BC101" s="243"/>
      <c r="BD101" s="243"/>
      <c r="BE101" s="243"/>
      <c r="BF101" s="243"/>
      <c r="BG101" s="256"/>
    </row>
    <row r="102" spans="1:59">
      <c r="A102" s="254">
        <v>91</v>
      </c>
      <c r="B102" s="242"/>
      <c r="C102" s="243"/>
      <c r="D102" s="243"/>
      <c r="E102" s="243"/>
      <c r="F102" s="243"/>
      <c r="G102" s="243"/>
      <c r="H102" s="243"/>
      <c r="I102" s="243"/>
      <c r="J102" s="243"/>
      <c r="K102" s="243"/>
      <c r="L102" s="243"/>
      <c r="M102" s="243"/>
      <c r="N102" s="256"/>
      <c r="P102" s="254">
        <v>91</v>
      </c>
      <c r="Q102" s="242"/>
      <c r="R102" s="243"/>
      <c r="S102" s="243"/>
      <c r="T102" s="243"/>
      <c r="U102" s="243"/>
      <c r="V102" s="243"/>
      <c r="W102" s="243"/>
      <c r="X102" s="243"/>
      <c r="Y102" s="243"/>
      <c r="Z102" s="243"/>
      <c r="AA102" s="243"/>
      <c r="AB102" s="243"/>
      <c r="AC102" s="256"/>
      <c r="AE102" s="254">
        <v>91</v>
      </c>
      <c r="AF102" s="242"/>
      <c r="AG102" s="243"/>
      <c r="AH102" s="243"/>
      <c r="AI102" s="243"/>
      <c r="AJ102" s="243"/>
      <c r="AK102" s="243"/>
      <c r="AL102" s="243"/>
      <c r="AM102" s="243"/>
      <c r="AN102" s="243"/>
      <c r="AO102" s="243"/>
      <c r="AP102" s="243"/>
      <c r="AQ102" s="243"/>
      <c r="AR102" s="256"/>
      <c r="AT102" s="254">
        <v>91</v>
      </c>
      <c r="AU102" s="242"/>
      <c r="AV102" s="243"/>
      <c r="AW102" s="243"/>
      <c r="AX102" s="243"/>
      <c r="AY102" s="243"/>
      <c r="AZ102" s="243"/>
      <c r="BA102" s="243"/>
      <c r="BB102" s="243"/>
      <c r="BC102" s="243"/>
      <c r="BD102" s="243"/>
      <c r="BE102" s="243"/>
      <c r="BF102" s="243"/>
      <c r="BG102" s="256"/>
    </row>
    <row r="103" spans="1:59">
      <c r="A103" s="254">
        <v>92</v>
      </c>
      <c r="B103" s="242"/>
      <c r="C103" s="243"/>
      <c r="D103" s="243"/>
      <c r="E103" s="243"/>
      <c r="F103" s="243"/>
      <c r="G103" s="243"/>
      <c r="H103" s="243"/>
      <c r="I103" s="243"/>
      <c r="J103" s="243"/>
      <c r="K103" s="243"/>
      <c r="L103" s="243"/>
      <c r="M103" s="243"/>
      <c r="N103" s="256"/>
      <c r="P103" s="254">
        <v>92</v>
      </c>
      <c r="Q103" s="242"/>
      <c r="R103" s="243"/>
      <c r="S103" s="243"/>
      <c r="T103" s="243"/>
      <c r="U103" s="243"/>
      <c r="V103" s="243"/>
      <c r="W103" s="243"/>
      <c r="X103" s="243"/>
      <c r="Y103" s="243"/>
      <c r="Z103" s="243"/>
      <c r="AA103" s="243"/>
      <c r="AB103" s="243"/>
      <c r="AC103" s="256"/>
      <c r="AE103" s="254">
        <v>92</v>
      </c>
      <c r="AF103" s="242"/>
      <c r="AG103" s="243"/>
      <c r="AH103" s="243"/>
      <c r="AI103" s="243"/>
      <c r="AJ103" s="243"/>
      <c r="AK103" s="243"/>
      <c r="AL103" s="243"/>
      <c r="AM103" s="243"/>
      <c r="AN103" s="243"/>
      <c r="AO103" s="243"/>
      <c r="AP103" s="243"/>
      <c r="AQ103" s="243"/>
      <c r="AR103" s="256"/>
      <c r="AT103" s="254">
        <v>92</v>
      </c>
      <c r="AU103" s="242"/>
      <c r="AV103" s="243"/>
      <c r="AW103" s="243"/>
      <c r="AX103" s="243"/>
      <c r="AY103" s="243"/>
      <c r="AZ103" s="243"/>
      <c r="BA103" s="243"/>
      <c r="BB103" s="243"/>
      <c r="BC103" s="243"/>
      <c r="BD103" s="243"/>
      <c r="BE103" s="243"/>
      <c r="BF103" s="243"/>
      <c r="BG103" s="256"/>
    </row>
    <row r="104" spans="1:59">
      <c r="A104" s="254">
        <v>93</v>
      </c>
      <c r="B104" s="242"/>
      <c r="C104" s="243"/>
      <c r="D104" s="243"/>
      <c r="E104" s="243"/>
      <c r="F104" s="243"/>
      <c r="G104" s="243"/>
      <c r="H104" s="243"/>
      <c r="I104" s="243"/>
      <c r="J104" s="243"/>
      <c r="K104" s="243"/>
      <c r="L104" s="243"/>
      <c r="M104" s="243"/>
      <c r="N104" s="256"/>
      <c r="P104" s="254">
        <v>93</v>
      </c>
      <c r="Q104" s="242"/>
      <c r="R104" s="243"/>
      <c r="S104" s="243"/>
      <c r="T104" s="243"/>
      <c r="U104" s="243"/>
      <c r="V104" s="243"/>
      <c r="W104" s="243"/>
      <c r="X104" s="243"/>
      <c r="Y104" s="243"/>
      <c r="Z104" s="243"/>
      <c r="AA104" s="243"/>
      <c r="AB104" s="243"/>
      <c r="AC104" s="256"/>
      <c r="AE104" s="254">
        <v>93</v>
      </c>
      <c r="AF104" s="242"/>
      <c r="AG104" s="243"/>
      <c r="AH104" s="243"/>
      <c r="AI104" s="243"/>
      <c r="AJ104" s="243"/>
      <c r="AK104" s="243"/>
      <c r="AL104" s="243"/>
      <c r="AM104" s="243"/>
      <c r="AN104" s="243"/>
      <c r="AO104" s="243"/>
      <c r="AP104" s="243"/>
      <c r="AQ104" s="243"/>
      <c r="AR104" s="256"/>
      <c r="AT104" s="254">
        <v>93</v>
      </c>
      <c r="AU104" s="242"/>
      <c r="AV104" s="243"/>
      <c r="AW104" s="243"/>
      <c r="AX104" s="243"/>
      <c r="AY104" s="243"/>
      <c r="AZ104" s="243"/>
      <c r="BA104" s="243"/>
      <c r="BB104" s="243"/>
      <c r="BC104" s="243"/>
      <c r="BD104" s="243"/>
      <c r="BE104" s="243"/>
      <c r="BF104" s="243"/>
      <c r="BG104" s="256"/>
    </row>
    <row r="105" spans="1:59">
      <c r="A105" s="254">
        <v>94</v>
      </c>
      <c r="B105" s="242"/>
      <c r="C105" s="243"/>
      <c r="D105" s="243"/>
      <c r="E105" s="243"/>
      <c r="F105" s="243"/>
      <c r="G105" s="243"/>
      <c r="H105" s="243"/>
      <c r="I105" s="243"/>
      <c r="J105" s="243"/>
      <c r="K105" s="243"/>
      <c r="L105" s="243"/>
      <c r="M105" s="243"/>
      <c r="N105" s="256"/>
      <c r="P105" s="254">
        <v>94</v>
      </c>
      <c r="Q105" s="242"/>
      <c r="R105" s="243"/>
      <c r="S105" s="243"/>
      <c r="T105" s="243"/>
      <c r="U105" s="243"/>
      <c r="V105" s="243"/>
      <c r="W105" s="243"/>
      <c r="X105" s="243"/>
      <c r="Y105" s="243"/>
      <c r="Z105" s="243"/>
      <c r="AA105" s="243"/>
      <c r="AB105" s="243"/>
      <c r="AC105" s="256"/>
      <c r="AE105" s="254">
        <v>94</v>
      </c>
      <c r="AF105" s="242"/>
      <c r="AG105" s="243"/>
      <c r="AH105" s="243"/>
      <c r="AI105" s="243"/>
      <c r="AJ105" s="243"/>
      <c r="AK105" s="243"/>
      <c r="AL105" s="243"/>
      <c r="AM105" s="243"/>
      <c r="AN105" s="243"/>
      <c r="AO105" s="243"/>
      <c r="AP105" s="243"/>
      <c r="AQ105" s="243"/>
      <c r="AR105" s="256"/>
      <c r="AT105" s="254">
        <v>94</v>
      </c>
      <c r="AU105" s="242"/>
      <c r="AV105" s="243"/>
      <c r="AW105" s="243"/>
      <c r="AX105" s="243"/>
      <c r="AY105" s="243"/>
      <c r="AZ105" s="243"/>
      <c r="BA105" s="243"/>
      <c r="BB105" s="243"/>
      <c r="BC105" s="243"/>
      <c r="BD105" s="243"/>
      <c r="BE105" s="243"/>
      <c r="BF105" s="243"/>
      <c r="BG105" s="256"/>
    </row>
    <row r="106" spans="1:59">
      <c r="A106" s="254">
        <v>95</v>
      </c>
      <c r="B106" s="242"/>
      <c r="C106" s="243"/>
      <c r="D106" s="243"/>
      <c r="E106" s="243"/>
      <c r="F106" s="243"/>
      <c r="G106" s="243"/>
      <c r="H106" s="243"/>
      <c r="I106" s="243"/>
      <c r="J106" s="243"/>
      <c r="K106" s="243"/>
      <c r="L106" s="243"/>
      <c r="M106" s="243"/>
      <c r="N106" s="256"/>
      <c r="P106" s="254">
        <v>95</v>
      </c>
      <c r="Q106" s="242"/>
      <c r="R106" s="243"/>
      <c r="S106" s="243"/>
      <c r="T106" s="243"/>
      <c r="U106" s="243"/>
      <c r="V106" s="243"/>
      <c r="W106" s="243"/>
      <c r="X106" s="243"/>
      <c r="Y106" s="243"/>
      <c r="Z106" s="243"/>
      <c r="AA106" s="243"/>
      <c r="AB106" s="243"/>
      <c r="AC106" s="256"/>
      <c r="AE106" s="254">
        <v>95</v>
      </c>
      <c r="AF106" s="242"/>
      <c r="AG106" s="243"/>
      <c r="AH106" s="243"/>
      <c r="AI106" s="243"/>
      <c r="AJ106" s="243"/>
      <c r="AK106" s="243"/>
      <c r="AL106" s="243"/>
      <c r="AM106" s="243"/>
      <c r="AN106" s="243"/>
      <c r="AO106" s="243"/>
      <c r="AP106" s="243"/>
      <c r="AQ106" s="243"/>
      <c r="AR106" s="256"/>
      <c r="AT106" s="254">
        <v>95</v>
      </c>
      <c r="AU106" s="242"/>
      <c r="AV106" s="243"/>
      <c r="AW106" s="243"/>
      <c r="AX106" s="243"/>
      <c r="AY106" s="243"/>
      <c r="AZ106" s="243"/>
      <c r="BA106" s="243"/>
      <c r="BB106" s="243"/>
      <c r="BC106" s="243"/>
      <c r="BD106" s="243"/>
      <c r="BE106" s="243"/>
      <c r="BF106" s="243"/>
      <c r="BG106" s="256"/>
    </row>
    <row r="107" spans="1:59">
      <c r="A107" s="254">
        <v>96</v>
      </c>
      <c r="B107" s="242"/>
      <c r="C107" s="243"/>
      <c r="D107" s="243"/>
      <c r="E107" s="243"/>
      <c r="F107" s="243"/>
      <c r="G107" s="243"/>
      <c r="H107" s="243"/>
      <c r="I107" s="243"/>
      <c r="J107" s="243"/>
      <c r="K107" s="243"/>
      <c r="L107" s="243"/>
      <c r="M107" s="243"/>
      <c r="N107" s="256"/>
      <c r="P107" s="254">
        <v>96</v>
      </c>
      <c r="Q107" s="242"/>
      <c r="R107" s="243"/>
      <c r="S107" s="243"/>
      <c r="T107" s="243"/>
      <c r="U107" s="243"/>
      <c r="V107" s="243"/>
      <c r="W107" s="243"/>
      <c r="X107" s="243"/>
      <c r="Y107" s="243"/>
      <c r="Z107" s="243"/>
      <c r="AA107" s="243"/>
      <c r="AB107" s="243"/>
      <c r="AC107" s="256"/>
      <c r="AE107" s="254">
        <v>96</v>
      </c>
      <c r="AF107" s="242"/>
      <c r="AG107" s="243"/>
      <c r="AH107" s="243"/>
      <c r="AI107" s="243"/>
      <c r="AJ107" s="243"/>
      <c r="AK107" s="243"/>
      <c r="AL107" s="243"/>
      <c r="AM107" s="243"/>
      <c r="AN107" s="243"/>
      <c r="AO107" s="243"/>
      <c r="AP107" s="243"/>
      <c r="AQ107" s="243"/>
      <c r="AR107" s="256"/>
      <c r="AT107" s="254">
        <v>96</v>
      </c>
      <c r="AU107" s="242"/>
      <c r="AV107" s="243"/>
      <c r="AW107" s="243"/>
      <c r="AX107" s="243"/>
      <c r="AY107" s="243"/>
      <c r="AZ107" s="243"/>
      <c r="BA107" s="243"/>
      <c r="BB107" s="243"/>
      <c r="BC107" s="243"/>
      <c r="BD107" s="243"/>
      <c r="BE107" s="243"/>
      <c r="BF107" s="243"/>
      <c r="BG107" s="256"/>
    </row>
    <row r="108" spans="1:59">
      <c r="A108" s="254">
        <v>97</v>
      </c>
      <c r="B108" s="242"/>
      <c r="C108" s="243"/>
      <c r="D108" s="243"/>
      <c r="E108" s="243"/>
      <c r="F108" s="243"/>
      <c r="G108" s="243"/>
      <c r="H108" s="243"/>
      <c r="I108" s="243"/>
      <c r="J108" s="243"/>
      <c r="K108" s="243"/>
      <c r="L108" s="243"/>
      <c r="M108" s="243"/>
      <c r="N108" s="256"/>
      <c r="P108" s="254">
        <v>97</v>
      </c>
      <c r="Q108" s="242"/>
      <c r="R108" s="243"/>
      <c r="S108" s="243"/>
      <c r="T108" s="243"/>
      <c r="U108" s="243"/>
      <c r="V108" s="243"/>
      <c r="W108" s="243"/>
      <c r="X108" s="243"/>
      <c r="Y108" s="243"/>
      <c r="Z108" s="243"/>
      <c r="AA108" s="243"/>
      <c r="AB108" s="243"/>
      <c r="AC108" s="256"/>
      <c r="AE108" s="254">
        <v>97</v>
      </c>
      <c r="AF108" s="242"/>
      <c r="AG108" s="243"/>
      <c r="AH108" s="243"/>
      <c r="AI108" s="243"/>
      <c r="AJ108" s="243"/>
      <c r="AK108" s="243"/>
      <c r="AL108" s="243"/>
      <c r="AM108" s="243"/>
      <c r="AN108" s="243"/>
      <c r="AO108" s="243"/>
      <c r="AP108" s="243"/>
      <c r="AQ108" s="243"/>
      <c r="AR108" s="256"/>
      <c r="AT108" s="254">
        <v>97</v>
      </c>
      <c r="AU108" s="242"/>
      <c r="AV108" s="243"/>
      <c r="AW108" s="243"/>
      <c r="AX108" s="243"/>
      <c r="AY108" s="243"/>
      <c r="AZ108" s="243"/>
      <c r="BA108" s="243"/>
      <c r="BB108" s="243"/>
      <c r="BC108" s="243"/>
      <c r="BD108" s="243"/>
      <c r="BE108" s="243"/>
      <c r="BF108" s="243"/>
      <c r="BG108" s="256"/>
    </row>
    <row r="109" spans="1:59">
      <c r="A109" s="254">
        <v>98</v>
      </c>
      <c r="B109" s="242"/>
      <c r="C109" s="243"/>
      <c r="D109" s="243"/>
      <c r="E109" s="243"/>
      <c r="F109" s="243"/>
      <c r="G109" s="243"/>
      <c r="H109" s="243"/>
      <c r="I109" s="243"/>
      <c r="J109" s="243"/>
      <c r="K109" s="243"/>
      <c r="L109" s="243"/>
      <c r="M109" s="243"/>
      <c r="N109" s="256"/>
      <c r="P109" s="254">
        <v>98</v>
      </c>
      <c r="Q109" s="242"/>
      <c r="R109" s="243"/>
      <c r="S109" s="243"/>
      <c r="T109" s="243"/>
      <c r="U109" s="243"/>
      <c r="V109" s="243"/>
      <c r="W109" s="243"/>
      <c r="X109" s="243"/>
      <c r="Y109" s="243"/>
      <c r="Z109" s="243"/>
      <c r="AA109" s="243"/>
      <c r="AB109" s="243"/>
      <c r="AC109" s="256"/>
      <c r="AE109" s="254">
        <v>98</v>
      </c>
      <c r="AF109" s="242"/>
      <c r="AG109" s="243"/>
      <c r="AH109" s="243"/>
      <c r="AI109" s="243"/>
      <c r="AJ109" s="243"/>
      <c r="AK109" s="243"/>
      <c r="AL109" s="243"/>
      <c r="AM109" s="243"/>
      <c r="AN109" s="243"/>
      <c r="AO109" s="243"/>
      <c r="AP109" s="243"/>
      <c r="AQ109" s="243"/>
      <c r="AR109" s="256"/>
      <c r="AT109" s="254">
        <v>98</v>
      </c>
      <c r="AU109" s="242"/>
      <c r="AV109" s="243"/>
      <c r="AW109" s="243"/>
      <c r="AX109" s="243"/>
      <c r="AY109" s="243"/>
      <c r="AZ109" s="243"/>
      <c r="BA109" s="243"/>
      <c r="BB109" s="243"/>
      <c r="BC109" s="243"/>
      <c r="BD109" s="243"/>
      <c r="BE109" s="243"/>
      <c r="BF109" s="243"/>
      <c r="BG109" s="256"/>
    </row>
    <row r="110" spans="1:59">
      <c r="A110" s="254">
        <v>99</v>
      </c>
      <c r="B110" s="242"/>
      <c r="C110" s="243"/>
      <c r="D110" s="243"/>
      <c r="E110" s="243"/>
      <c r="F110" s="243"/>
      <c r="G110" s="243"/>
      <c r="H110" s="243"/>
      <c r="I110" s="243"/>
      <c r="J110" s="243"/>
      <c r="K110" s="243"/>
      <c r="L110" s="243"/>
      <c r="M110" s="243"/>
      <c r="N110" s="256"/>
      <c r="P110" s="254">
        <v>99</v>
      </c>
      <c r="Q110" s="242"/>
      <c r="R110" s="243"/>
      <c r="S110" s="243"/>
      <c r="T110" s="243"/>
      <c r="U110" s="243"/>
      <c r="V110" s="243"/>
      <c r="W110" s="243"/>
      <c r="X110" s="243"/>
      <c r="Y110" s="243"/>
      <c r="Z110" s="243"/>
      <c r="AA110" s="243"/>
      <c r="AB110" s="243"/>
      <c r="AC110" s="256"/>
      <c r="AE110" s="254">
        <v>99</v>
      </c>
      <c r="AF110" s="242"/>
      <c r="AG110" s="243"/>
      <c r="AH110" s="243"/>
      <c r="AI110" s="243"/>
      <c r="AJ110" s="243"/>
      <c r="AK110" s="243"/>
      <c r="AL110" s="243"/>
      <c r="AM110" s="243"/>
      <c r="AN110" s="243"/>
      <c r="AO110" s="243"/>
      <c r="AP110" s="243"/>
      <c r="AQ110" s="243"/>
      <c r="AR110" s="256"/>
      <c r="AT110" s="254">
        <v>99</v>
      </c>
      <c r="AU110" s="242"/>
      <c r="AV110" s="243"/>
      <c r="AW110" s="243"/>
      <c r="AX110" s="243"/>
      <c r="AY110" s="243"/>
      <c r="AZ110" s="243"/>
      <c r="BA110" s="243"/>
      <c r="BB110" s="243"/>
      <c r="BC110" s="243"/>
      <c r="BD110" s="243"/>
      <c r="BE110" s="243"/>
      <c r="BF110" s="243"/>
      <c r="BG110" s="256"/>
    </row>
    <row r="111" spans="1:59">
      <c r="A111" s="257">
        <v>100</v>
      </c>
      <c r="B111" s="248"/>
      <c r="C111" s="249"/>
      <c r="D111" s="249"/>
      <c r="E111" s="249"/>
      <c r="F111" s="249"/>
      <c r="G111" s="249"/>
      <c r="H111" s="249"/>
      <c r="I111" s="249"/>
      <c r="J111" s="249"/>
      <c r="K111" s="249"/>
      <c r="L111" s="249"/>
      <c r="M111" s="249"/>
      <c r="N111" s="258"/>
      <c r="P111" s="257">
        <v>100</v>
      </c>
      <c r="Q111" s="248"/>
      <c r="R111" s="249"/>
      <c r="S111" s="249"/>
      <c r="T111" s="249"/>
      <c r="U111" s="249"/>
      <c r="V111" s="249"/>
      <c r="W111" s="249"/>
      <c r="X111" s="249"/>
      <c r="Y111" s="249"/>
      <c r="Z111" s="249"/>
      <c r="AA111" s="249"/>
      <c r="AB111" s="249"/>
      <c r="AC111" s="258"/>
      <c r="AE111" s="257">
        <v>100</v>
      </c>
      <c r="AF111" s="248"/>
      <c r="AG111" s="249"/>
      <c r="AH111" s="249"/>
      <c r="AI111" s="249"/>
      <c r="AJ111" s="249"/>
      <c r="AK111" s="249"/>
      <c r="AL111" s="249"/>
      <c r="AM111" s="249"/>
      <c r="AN111" s="249"/>
      <c r="AO111" s="249"/>
      <c r="AP111" s="249"/>
      <c r="AQ111" s="249"/>
      <c r="AR111" s="258"/>
      <c r="AT111" s="257">
        <v>100</v>
      </c>
      <c r="AU111" s="248"/>
      <c r="AV111" s="249"/>
      <c r="AW111" s="249"/>
      <c r="AX111" s="249"/>
      <c r="AY111" s="249"/>
      <c r="AZ111" s="249"/>
      <c r="BA111" s="249"/>
      <c r="BB111" s="249"/>
      <c r="BC111" s="249"/>
      <c r="BD111" s="249"/>
      <c r="BE111" s="249"/>
      <c r="BF111" s="249"/>
      <c r="BG111" s="258"/>
    </row>
    <row r="112" spans="1:59" ht="13" thickBot="1">
      <c r="A112" s="259" t="s">
        <v>36</v>
      </c>
      <c r="B112" s="260">
        <f>SUM(B12:B111)</f>
        <v>0</v>
      </c>
      <c r="C112" s="261">
        <f t="shared" ref="C112:M112" si="0">SUM(C12:C111)</f>
        <v>0</v>
      </c>
      <c r="D112" s="261">
        <f t="shared" si="0"/>
        <v>0</v>
      </c>
      <c r="E112" s="261">
        <f t="shared" si="0"/>
        <v>0</v>
      </c>
      <c r="F112" s="261">
        <f t="shared" si="0"/>
        <v>0</v>
      </c>
      <c r="G112" s="261">
        <f t="shared" si="0"/>
        <v>0</v>
      </c>
      <c r="H112" s="261">
        <f t="shared" si="0"/>
        <v>0</v>
      </c>
      <c r="I112" s="261">
        <f t="shared" si="0"/>
        <v>0</v>
      </c>
      <c r="J112" s="261">
        <f t="shared" si="0"/>
        <v>0</v>
      </c>
      <c r="K112" s="261">
        <f t="shared" si="0"/>
        <v>0</v>
      </c>
      <c r="L112" s="261">
        <f t="shared" si="0"/>
        <v>0</v>
      </c>
      <c r="M112" s="261">
        <f t="shared" si="0"/>
        <v>0</v>
      </c>
      <c r="N112" s="262">
        <f>SUM(N12:N111)</f>
        <v>0</v>
      </c>
      <c r="O112" s="217"/>
      <c r="P112" s="259" t="s">
        <v>36</v>
      </c>
      <c r="Q112" s="260">
        <f>SUM(Q12:Q111)</f>
        <v>0</v>
      </c>
      <c r="R112" s="261">
        <f t="shared" ref="R112:AB112" si="1">SUM(R12:R111)</f>
        <v>0</v>
      </c>
      <c r="S112" s="261">
        <f t="shared" si="1"/>
        <v>0</v>
      </c>
      <c r="T112" s="261">
        <f t="shared" si="1"/>
        <v>0</v>
      </c>
      <c r="U112" s="261">
        <f t="shared" si="1"/>
        <v>0</v>
      </c>
      <c r="V112" s="261">
        <f t="shared" si="1"/>
        <v>0</v>
      </c>
      <c r="W112" s="261">
        <f t="shared" si="1"/>
        <v>0</v>
      </c>
      <c r="X112" s="261">
        <f t="shared" si="1"/>
        <v>0</v>
      </c>
      <c r="Y112" s="261">
        <f t="shared" si="1"/>
        <v>0</v>
      </c>
      <c r="Z112" s="261">
        <f t="shared" si="1"/>
        <v>0</v>
      </c>
      <c r="AA112" s="261">
        <f t="shared" si="1"/>
        <v>0</v>
      </c>
      <c r="AB112" s="261">
        <f t="shared" si="1"/>
        <v>0</v>
      </c>
      <c r="AC112" s="262">
        <f>SUM(AC12:AC111)</f>
        <v>0</v>
      </c>
      <c r="AE112" s="259" t="s">
        <v>36</v>
      </c>
      <c r="AF112" s="260">
        <f>SUM(AF12:AF111)</f>
        <v>0</v>
      </c>
      <c r="AG112" s="261">
        <f t="shared" ref="AG112:AQ112" si="2">SUM(AG12:AG111)</f>
        <v>0</v>
      </c>
      <c r="AH112" s="261">
        <f t="shared" si="2"/>
        <v>0</v>
      </c>
      <c r="AI112" s="261">
        <f t="shared" si="2"/>
        <v>0</v>
      </c>
      <c r="AJ112" s="261">
        <f t="shared" si="2"/>
        <v>0</v>
      </c>
      <c r="AK112" s="261">
        <f t="shared" si="2"/>
        <v>0</v>
      </c>
      <c r="AL112" s="261">
        <f t="shared" si="2"/>
        <v>0</v>
      </c>
      <c r="AM112" s="261">
        <f t="shared" si="2"/>
        <v>0</v>
      </c>
      <c r="AN112" s="261">
        <f t="shared" si="2"/>
        <v>0</v>
      </c>
      <c r="AO112" s="261">
        <f t="shared" si="2"/>
        <v>0</v>
      </c>
      <c r="AP112" s="261">
        <f t="shared" si="2"/>
        <v>0</v>
      </c>
      <c r="AQ112" s="261">
        <f t="shared" si="2"/>
        <v>0</v>
      </c>
      <c r="AR112" s="262">
        <f>SUM(AR12:AR111)</f>
        <v>0</v>
      </c>
      <c r="AT112" s="259" t="s">
        <v>36</v>
      </c>
      <c r="AU112" s="260">
        <f>SUM(AU12:AU111)</f>
        <v>0</v>
      </c>
      <c r="AV112" s="261">
        <f t="shared" ref="AV112:BF112" si="3">SUM(AV12:AV111)</f>
        <v>0</v>
      </c>
      <c r="AW112" s="261">
        <f t="shared" si="3"/>
        <v>0</v>
      </c>
      <c r="AX112" s="261">
        <f t="shared" si="3"/>
        <v>0</v>
      </c>
      <c r="AY112" s="261">
        <f t="shared" si="3"/>
        <v>0</v>
      </c>
      <c r="AZ112" s="261">
        <f t="shared" si="3"/>
        <v>0</v>
      </c>
      <c r="BA112" s="261">
        <f t="shared" si="3"/>
        <v>0</v>
      </c>
      <c r="BB112" s="261">
        <f t="shared" si="3"/>
        <v>0</v>
      </c>
      <c r="BC112" s="261">
        <f t="shared" si="3"/>
        <v>0</v>
      </c>
      <c r="BD112" s="261">
        <f t="shared" si="3"/>
        <v>0</v>
      </c>
      <c r="BE112" s="261">
        <f t="shared" si="3"/>
        <v>0</v>
      </c>
      <c r="BF112" s="261">
        <f t="shared" si="3"/>
        <v>0</v>
      </c>
      <c r="BG112" s="262">
        <f>SUM(BG12:BG111)</f>
        <v>0</v>
      </c>
    </row>
  </sheetData>
  <mergeCells count="12">
    <mergeCell ref="B3:D3"/>
    <mergeCell ref="B4:D4"/>
    <mergeCell ref="B5:D5"/>
    <mergeCell ref="G6:I6"/>
    <mergeCell ref="B9:N9"/>
    <mergeCell ref="AF9:AR9"/>
    <mergeCell ref="AU9:BG9"/>
    <mergeCell ref="B10:N10"/>
    <mergeCell ref="Q10:AC10"/>
    <mergeCell ref="AF10:AR10"/>
    <mergeCell ref="AU10:BG10"/>
    <mergeCell ref="Q9:AC9"/>
  </mergeCells>
  <phoneticPr fontId="3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12"/>
  <sheetViews>
    <sheetView workbookViewId="0">
      <selection activeCell="G6" sqref="G6:I6"/>
    </sheetView>
  </sheetViews>
  <sheetFormatPr defaultRowHeight="12.5"/>
  <cols>
    <col min="1" max="1" width="12.453125" customWidth="1"/>
    <col min="2"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59" ht="18">
      <c r="A1" s="34" t="s">
        <v>147</v>
      </c>
      <c r="B1" s="6"/>
      <c r="C1" s="4"/>
      <c r="D1" s="6"/>
      <c r="E1" s="6"/>
      <c r="F1" s="6"/>
      <c r="G1" s="6"/>
      <c r="H1" s="6"/>
      <c r="I1" s="6"/>
      <c r="J1" s="222"/>
      <c r="K1" s="222"/>
    </row>
    <row r="2" spans="1:59" ht="16" thickBot="1">
      <c r="A2" s="350" t="s">
        <v>146</v>
      </c>
      <c r="B2" s="6"/>
      <c r="C2" s="11"/>
      <c r="D2" s="6"/>
      <c r="E2" s="6"/>
      <c r="F2" s="6"/>
      <c r="G2" s="6"/>
      <c r="H2" s="6"/>
      <c r="I2" s="6"/>
      <c r="J2" s="222"/>
      <c r="K2" s="222"/>
    </row>
    <row r="3" spans="1:59" ht="16" thickBot="1">
      <c r="A3" s="346" t="s">
        <v>135</v>
      </c>
      <c r="B3" s="377" t="str">
        <f>'START HERE'!F6</f>
        <v>Korea</v>
      </c>
      <c r="C3" s="377"/>
      <c r="D3" s="377"/>
      <c r="E3" s="222"/>
      <c r="F3" s="31" t="s">
        <v>59</v>
      </c>
      <c r="G3" s="196" t="s">
        <v>101</v>
      </c>
      <c r="H3" s="199"/>
      <c r="I3" s="197"/>
      <c r="J3" s="222"/>
      <c r="K3" s="222"/>
    </row>
    <row r="4" spans="1:59" ht="15.5">
      <c r="A4" s="12" t="s">
        <v>22</v>
      </c>
      <c r="B4" s="377" t="str">
        <f>'START HERE'!F5</f>
        <v>Jack mackerel</v>
      </c>
      <c r="C4" s="377"/>
      <c r="D4" s="377"/>
      <c r="E4" s="222"/>
      <c r="F4" s="13" t="s">
        <v>45</v>
      </c>
      <c r="G4" s="216"/>
      <c r="H4" s="200"/>
      <c r="I4" s="84"/>
      <c r="J4" s="222"/>
      <c r="K4" s="222"/>
    </row>
    <row r="5" spans="1:59" ht="18">
      <c r="A5" s="12" t="s">
        <v>15</v>
      </c>
      <c r="B5" s="378">
        <f>'START HERE'!K3</f>
        <v>2018</v>
      </c>
      <c r="C5" s="378"/>
      <c r="D5" s="378"/>
      <c r="E5" s="222"/>
      <c r="F5" s="35" t="s">
        <v>46</v>
      </c>
      <c r="G5" s="85" t="s">
        <v>148</v>
      </c>
      <c r="H5" s="198"/>
      <c r="I5" s="86"/>
      <c r="J5" s="222"/>
      <c r="K5" s="222"/>
    </row>
    <row r="6" spans="1:59" ht="16" thickBot="1">
      <c r="A6" s="12"/>
      <c r="B6" s="81"/>
      <c r="C6" s="82"/>
      <c r="D6" s="6"/>
      <c r="F6" s="35" t="s">
        <v>16</v>
      </c>
      <c r="G6" s="384">
        <f>'START HERE'!$F8</f>
        <v>42252</v>
      </c>
      <c r="H6" s="385"/>
      <c r="I6" s="391"/>
      <c r="J6" s="222"/>
      <c r="K6" s="222"/>
    </row>
    <row r="7" spans="1:59">
      <c r="A7" s="6"/>
      <c r="B7" s="6"/>
      <c r="C7" s="6"/>
      <c r="D7" s="6"/>
      <c r="E7" s="6"/>
      <c r="F7" s="6"/>
      <c r="G7" s="6"/>
      <c r="H7" s="6"/>
      <c r="I7" s="6"/>
      <c r="J7" s="222"/>
      <c r="K7" s="222"/>
    </row>
    <row r="8" spans="1:59" ht="13" thickBot="1">
      <c r="A8" s="6"/>
      <c r="B8" s="6"/>
      <c r="C8" s="6"/>
      <c r="D8" s="6"/>
      <c r="E8" s="6"/>
      <c r="F8" s="6"/>
      <c r="G8" s="6"/>
      <c r="H8" s="6"/>
      <c r="I8" s="6"/>
      <c r="J8" s="222"/>
      <c r="K8" s="222"/>
    </row>
    <row r="9" spans="1:59" ht="15.5">
      <c r="A9" s="250"/>
      <c r="B9" s="406" t="s">
        <v>61</v>
      </c>
      <c r="C9" s="406"/>
      <c r="D9" s="406"/>
      <c r="E9" s="406"/>
      <c r="F9" s="406"/>
      <c r="G9" s="406"/>
      <c r="H9" s="406"/>
      <c r="I9" s="406"/>
      <c r="J9" s="406"/>
      <c r="K9" s="406"/>
      <c r="L9" s="406"/>
      <c r="M9" s="406"/>
      <c r="N9" s="407"/>
      <c r="P9" s="250"/>
      <c r="Q9" s="406" t="s">
        <v>37</v>
      </c>
      <c r="R9" s="406"/>
      <c r="S9" s="406"/>
      <c r="T9" s="406"/>
      <c r="U9" s="406"/>
      <c r="V9" s="406"/>
      <c r="W9" s="406"/>
      <c r="X9" s="406"/>
      <c r="Y9" s="406"/>
      <c r="Z9" s="406"/>
      <c r="AA9" s="406"/>
      <c r="AB9" s="406"/>
      <c r="AC9" s="407"/>
      <c r="AE9" s="250"/>
      <c r="AF9" s="406" t="s">
        <v>38</v>
      </c>
      <c r="AG9" s="406"/>
      <c r="AH9" s="406"/>
      <c r="AI9" s="406"/>
      <c r="AJ9" s="406"/>
      <c r="AK9" s="406"/>
      <c r="AL9" s="406"/>
      <c r="AM9" s="406"/>
      <c r="AN9" s="406"/>
      <c r="AO9" s="406"/>
      <c r="AP9" s="406"/>
      <c r="AQ9" s="406"/>
      <c r="AR9" s="407"/>
      <c r="AT9" s="250"/>
      <c r="AU9" s="406" t="s">
        <v>39</v>
      </c>
      <c r="AV9" s="406"/>
      <c r="AW9" s="406"/>
      <c r="AX9" s="406"/>
      <c r="AY9" s="406"/>
      <c r="AZ9" s="406"/>
      <c r="BA9" s="406"/>
      <c r="BB9" s="406"/>
      <c r="BC9" s="406"/>
      <c r="BD9" s="406"/>
      <c r="BE9" s="406"/>
      <c r="BF9" s="406"/>
      <c r="BG9" s="407"/>
    </row>
    <row r="10" spans="1:59" ht="13">
      <c r="A10" s="251" t="s">
        <v>92</v>
      </c>
      <c r="B10" s="403" t="s">
        <v>90</v>
      </c>
      <c r="C10" s="404"/>
      <c r="D10" s="404"/>
      <c r="E10" s="404"/>
      <c r="F10" s="404"/>
      <c r="G10" s="404"/>
      <c r="H10" s="404"/>
      <c r="I10" s="404"/>
      <c r="J10" s="404"/>
      <c r="K10" s="404"/>
      <c r="L10" s="404"/>
      <c r="M10" s="404"/>
      <c r="N10" s="405"/>
      <c r="P10" s="251" t="s">
        <v>92</v>
      </c>
      <c r="Q10" s="403" t="s">
        <v>90</v>
      </c>
      <c r="R10" s="404"/>
      <c r="S10" s="404"/>
      <c r="T10" s="404"/>
      <c r="U10" s="404"/>
      <c r="V10" s="404"/>
      <c r="W10" s="404"/>
      <c r="X10" s="404"/>
      <c r="Y10" s="404"/>
      <c r="Z10" s="404"/>
      <c r="AA10" s="404"/>
      <c r="AB10" s="404"/>
      <c r="AC10" s="405"/>
      <c r="AE10" s="251" t="s">
        <v>92</v>
      </c>
      <c r="AF10" s="403" t="s">
        <v>90</v>
      </c>
      <c r="AG10" s="404"/>
      <c r="AH10" s="404"/>
      <c r="AI10" s="404"/>
      <c r="AJ10" s="404"/>
      <c r="AK10" s="404"/>
      <c r="AL10" s="404"/>
      <c r="AM10" s="404"/>
      <c r="AN10" s="404"/>
      <c r="AO10" s="404"/>
      <c r="AP10" s="404"/>
      <c r="AQ10" s="404"/>
      <c r="AR10" s="405"/>
      <c r="AT10" s="251" t="s">
        <v>92</v>
      </c>
      <c r="AU10" s="403" t="s">
        <v>90</v>
      </c>
      <c r="AV10" s="404"/>
      <c r="AW10" s="404"/>
      <c r="AX10" s="404"/>
      <c r="AY10" s="404"/>
      <c r="AZ10" s="404"/>
      <c r="BA10" s="404"/>
      <c r="BB10" s="404"/>
      <c r="BC10" s="404"/>
      <c r="BD10" s="404"/>
      <c r="BE10" s="404"/>
      <c r="BF10" s="404"/>
      <c r="BG10" s="405"/>
    </row>
    <row r="11" spans="1:59" ht="13">
      <c r="A11" s="252" t="s">
        <v>49</v>
      </c>
      <c r="B11" s="246">
        <v>0</v>
      </c>
      <c r="C11" s="247">
        <v>1</v>
      </c>
      <c r="D11" s="247">
        <v>2</v>
      </c>
      <c r="E11" s="247">
        <v>3</v>
      </c>
      <c r="F11" s="247">
        <v>4</v>
      </c>
      <c r="G11" s="247">
        <v>5</v>
      </c>
      <c r="H11" s="247">
        <v>6</v>
      </c>
      <c r="I11" s="247">
        <v>7</v>
      </c>
      <c r="J11" s="247">
        <v>8</v>
      </c>
      <c r="K11" s="247">
        <v>9</v>
      </c>
      <c r="L11" s="247">
        <v>10</v>
      </c>
      <c r="M11" s="247">
        <v>11</v>
      </c>
      <c r="N11" s="253">
        <v>12</v>
      </c>
      <c r="P11" s="252" t="s">
        <v>49</v>
      </c>
      <c r="Q11" s="246">
        <v>0</v>
      </c>
      <c r="R11" s="247">
        <v>1</v>
      </c>
      <c r="S11" s="247">
        <v>2</v>
      </c>
      <c r="T11" s="247">
        <v>3</v>
      </c>
      <c r="U11" s="247">
        <v>4</v>
      </c>
      <c r="V11" s="247">
        <v>5</v>
      </c>
      <c r="W11" s="247">
        <v>6</v>
      </c>
      <c r="X11" s="247">
        <v>7</v>
      </c>
      <c r="Y11" s="247">
        <v>8</v>
      </c>
      <c r="Z11" s="247">
        <v>9</v>
      </c>
      <c r="AA11" s="247">
        <v>10</v>
      </c>
      <c r="AB11" s="247">
        <v>11</v>
      </c>
      <c r="AC11" s="253">
        <v>12</v>
      </c>
      <c r="AE11" s="252" t="s">
        <v>49</v>
      </c>
      <c r="AF11" s="246">
        <v>0</v>
      </c>
      <c r="AG11" s="247">
        <v>1</v>
      </c>
      <c r="AH11" s="247">
        <v>2</v>
      </c>
      <c r="AI11" s="247">
        <v>3</v>
      </c>
      <c r="AJ11" s="247">
        <v>4</v>
      </c>
      <c r="AK11" s="247">
        <v>5</v>
      </c>
      <c r="AL11" s="247">
        <v>6</v>
      </c>
      <c r="AM11" s="247">
        <v>7</v>
      </c>
      <c r="AN11" s="247">
        <v>8</v>
      </c>
      <c r="AO11" s="247">
        <v>9</v>
      </c>
      <c r="AP11" s="247">
        <v>10</v>
      </c>
      <c r="AQ11" s="247">
        <v>11</v>
      </c>
      <c r="AR11" s="253">
        <v>12</v>
      </c>
      <c r="AT11" s="252" t="s">
        <v>49</v>
      </c>
      <c r="AU11" s="246">
        <v>0</v>
      </c>
      <c r="AV11" s="247">
        <v>1</v>
      </c>
      <c r="AW11" s="247">
        <v>2</v>
      </c>
      <c r="AX11" s="247">
        <v>3</v>
      </c>
      <c r="AY11" s="247">
        <v>4</v>
      </c>
      <c r="AZ11" s="247">
        <v>5</v>
      </c>
      <c r="BA11" s="247">
        <v>6</v>
      </c>
      <c r="BB11" s="247">
        <v>7</v>
      </c>
      <c r="BC11" s="247">
        <v>8</v>
      </c>
      <c r="BD11" s="247">
        <v>9</v>
      </c>
      <c r="BE11" s="247">
        <v>10</v>
      </c>
      <c r="BF11" s="247">
        <v>11</v>
      </c>
      <c r="BG11" s="253">
        <v>12</v>
      </c>
    </row>
    <row r="12" spans="1:59">
      <c r="A12" s="254">
        <v>1</v>
      </c>
      <c r="B12" s="244"/>
      <c r="C12" s="245"/>
      <c r="D12" s="245"/>
      <c r="E12" s="245"/>
      <c r="F12" s="245"/>
      <c r="G12" s="245"/>
      <c r="H12" s="245"/>
      <c r="I12" s="245"/>
      <c r="J12" s="245"/>
      <c r="K12" s="245"/>
      <c r="L12" s="245"/>
      <c r="M12" s="245"/>
      <c r="N12" s="255"/>
      <c r="P12" s="254">
        <v>1</v>
      </c>
      <c r="Q12" s="244"/>
      <c r="R12" s="245"/>
      <c r="S12" s="245"/>
      <c r="T12" s="245"/>
      <c r="U12" s="245"/>
      <c r="V12" s="245"/>
      <c r="W12" s="245"/>
      <c r="X12" s="245"/>
      <c r="Y12" s="245"/>
      <c r="Z12" s="245"/>
      <c r="AA12" s="245"/>
      <c r="AB12" s="245"/>
      <c r="AC12" s="255"/>
      <c r="AE12" s="254">
        <v>1</v>
      </c>
      <c r="AF12" s="244"/>
      <c r="AG12" s="245"/>
      <c r="AH12" s="245"/>
      <c r="AI12" s="245"/>
      <c r="AJ12" s="245"/>
      <c r="AK12" s="245"/>
      <c r="AL12" s="245"/>
      <c r="AM12" s="245"/>
      <c r="AN12" s="245"/>
      <c r="AO12" s="245"/>
      <c r="AP12" s="245"/>
      <c r="AQ12" s="245"/>
      <c r="AR12" s="255"/>
      <c r="AT12" s="254">
        <v>1</v>
      </c>
      <c r="AU12" s="244"/>
      <c r="AV12" s="245"/>
      <c r="AW12" s="245"/>
      <c r="AX12" s="245"/>
      <c r="AY12" s="245"/>
      <c r="AZ12" s="245"/>
      <c r="BA12" s="245"/>
      <c r="BB12" s="245"/>
      <c r="BC12" s="245"/>
      <c r="BD12" s="245"/>
      <c r="BE12" s="245"/>
      <c r="BF12" s="245"/>
      <c r="BG12" s="255"/>
    </row>
    <row r="13" spans="1:59">
      <c r="A13" s="254">
        <v>2</v>
      </c>
      <c r="B13" s="242"/>
      <c r="C13" s="243"/>
      <c r="D13" s="243"/>
      <c r="E13" s="243"/>
      <c r="F13" s="243"/>
      <c r="G13" s="243"/>
      <c r="H13" s="243"/>
      <c r="I13" s="243"/>
      <c r="J13" s="243"/>
      <c r="K13" s="243"/>
      <c r="L13" s="243"/>
      <c r="M13" s="243"/>
      <c r="N13" s="256"/>
      <c r="P13" s="254">
        <v>2</v>
      </c>
      <c r="Q13" s="242"/>
      <c r="R13" s="243"/>
      <c r="S13" s="243"/>
      <c r="T13" s="243"/>
      <c r="U13" s="243"/>
      <c r="V13" s="243"/>
      <c r="W13" s="243"/>
      <c r="X13" s="243"/>
      <c r="Y13" s="243"/>
      <c r="Z13" s="243"/>
      <c r="AA13" s="243"/>
      <c r="AB13" s="243"/>
      <c r="AC13" s="256"/>
      <c r="AE13" s="254">
        <v>2</v>
      </c>
      <c r="AF13" s="242"/>
      <c r="AG13" s="243"/>
      <c r="AH13" s="243"/>
      <c r="AI13" s="243"/>
      <c r="AJ13" s="243"/>
      <c r="AK13" s="243"/>
      <c r="AL13" s="243"/>
      <c r="AM13" s="243"/>
      <c r="AN13" s="243"/>
      <c r="AO13" s="243"/>
      <c r="AP13" s="243"/>
      <c r="AQ13" s="243"/>
      <c r="AR13" s="256"/>
      <c r="AT13" s="254">
        <v>2</v>
      </c>
      <c r="AU13" s="242"/>
      <c r="AV13" s="243"/>
      <c r="AW13" s="243"/>
      <c r="AX13" s="243"/>
      <c r="AY13" s="243"/>
      <c r="AZ13" s="243"/>
      <c r="BA13" s="243"/>
      <c r="BB13" s="243"/>
      <c r="BC13" s="243"/>
      <c r="BD13" s="243"/>
      <c r="BE13" s="243"/>
      <c r="BF13" s="243"/>
      <c r="BG13" s="256"/>
    </row>
    <row r="14" spans="1:59">
      <c r="A14" s="254">
        <v>3</v>
      </c>
      <c r="B14" s="242"/>
      <c r="C14" s="243"/>
      <c r="D14" s="243"/>
      <c r="E14" s="243"/>
      <c r="F14" s="243"/>
      <c r="G14" s="243"/>
      <c r="H14" s="243"/>
      <c r="I14" s="243"/>
      <c r="J14" s="243"/>
      <c r="K14" s="243"/>
      <c r="L14" s="243"/>
      <c r="M14" s="243"/>
      <c r="N14" s="256"/>
      <c r="P14" s="254">
        <v>3</v>
      </c>
      <c r="Q14" s="242"/>
      <c r="R14" s="243"/>
      <c r="S14" s="243"/>
      <c r="T14" s="243"/>
      <c r="U14" s="243"/>
      <c r="V14" s="243"/>
      <c r="W14" s="243"/>
      <c r="X14" s="243"/>
      <c r="Y14" s="243"/>
      <c r="Z14" s="243"/>
      <c r="AA14" s="243"/>
      <c r="AB14" s="243"/>
      <c r="AC14" s="256"/>
      <c r="AE14" s="254">
        <v>3</v>
      </c>
      <c r="AF14" s="242"/>
      <c r="AG14" s="243"/>
      <c r="AH14" s="243"/>
      <c r="AI14" s="243"/>
      <c r="AJ14" s="243"/>
      <c r="AK14" s="243"/>
      <c r="AL14" s="243"/>
      <c r="AM14" s="243"/>
      <c r="AN14" s="243"/>
      <c r="AO14" s="243"/>
      <c r="AP14" s="243"/>
      <c r="AQ14" s="243"/>
      <c r="AR14" s="256"/>
      <c r="AT14" s="254">
        <v>3</v>
      </c>
      <c r="AU14" s="242"/>
      <c r="AV14" s="243"/>
      <c r="AW14" s="243"/>
      <c r="AX14" s="243"/>
      <c r="AY14" s="243"/>
      <c r="AZ14" s="243"/>
      <c r="BA14" s="243"/>
      <c r="BB14" s="243"/>
      <c r="BC14" s="243"/>
      <c r="BD14" s="243"/>
      <c r="BE14" s="243"/>
      <c r="BF14" s="243"/>
      <c r="BG14" s="256"/>
    </row>
    <row r="15" spans="1:59">
      <c r="A15" s="254">
        <v>4</v>
      </c>
      <c r="B15" s="242"/>
      <c r="C15" s="243"/>
      <c r="D15" s="243"/>
      <c r="E15" s="243"/>
      <c r="F15" s="243"/>
      <c r="G15" s="243"/>
      <c r="H15" s="243"/>
      <c r="I15" s="243"/>
      <c r="J15" s="243"/>
      <c r="K15" s="243"/>
      <c r="L15" s="243"/>
      <c r="M15" s="243"/>
      <c r="N15" s="256"/>
      <c r="P15" s="254">
        <v>4</v>
      </c>
      <c r="Q15" s="242"/>
      <c r="R15" s="243"/>
      <c r="S15" s="243"/>
      <c r="T15" s="243"/>
      <c r="U15" s="243"/>
      <c r="V15" s="243"/>
      <c r="W15" s="243"/>
      <c r="X15" s="243"/>
      <c r="Y15" s="243"/>
      <c r="Z15" s="243"/>
      <c r="AA15" s="243"/>
      <c r="AB15" s="243"/>
      <c r="AC15" s="256"/>
      <c r="AE15" s="254">
        <v>4</v>
      </c>
      <c r="AF15" s="242"/>
      <c r="AG15" s="243"/>
      <c r="AH15" s="243"/>
      <c r="AI15" s="243"/>
      <c r="AJ15" s="243"/>
      <c r="AK15" s="243"/>
      <c r="AL15" s="243"/>
      <c r="AM15" s="243"/>
      <c r="AN15" s="243"/>
      <c r="AO15" s="243"/>
      <c r="AP15" s="243"/>
      <c r="AQ15" s="243"/>
      <c r="AR15" s="256"/>
      <c r="AT15" s="254">
        <v>4</v>
      </c>
      <c r="AU15" s="242"/>
      <c r="AV15" s="243"/>
      <c r="AW15" s="243"/>
      <c r="AX15" s="243"/>
      <c r="AY15" s="243"/>
      <c r="AZ15" s="243"/>
      <c r="BA15" s="243"/>
      <c r="BB15" s="243"/>
      <c r="BC15" s="243"/>
      <c r="BD15" s="243"/>
      <c r="BE15" s="243"/>
      <c r="BF15" s="243"/>
      <c r="BG15" s="256"/>
    </row>
    <row r="16" spans="1:59">
      <c r="A16" s="254">
        <v>5</v>
      </c>
      <c r="B16" s="242"/>
      <c r="C16" s="243"/>
      <c r="D16" s="243"/>
      <c r="E16" s="243"/>
      <c r="F16" s="243"/>
      <c r="G16" s="243"/>
      <c r="H16" s="243"/>
      <c r="I16" s="243"/>
      <c r="J16" s="243"/>
      <c r="K16" s="243"/>
      <c r="L16" s="243"/>
      <c r="M16" s="243"/>
      <c r="N16" s="256"/>
      <c r="P16" s="254">
        <v>5</v>
      </c>
      <c r="Q16" s="242"/>
      <c r="R16" s="243"/>
      <c r="S16" s="243"/>
      <c r="T16" s="243"/>
      <c r="U16" s="243"/>
      <c r="V16" s="243"/>
      <c r="W16" s="243"/>
      <c r="X16" s="243"/>
      <c r="Y16" s="243"/>
      <c r="Z16" s="243"/>
      <c r="AA16" s="243"/>
      <c r="AB16" s="243"/>
      <c r="AC16" s="256"/>
      <c r="AE16" s="254">
        <v>5</v>
      </c>
      <c r="AF16" s="242"/>
      <c r="AG16" s="243"/>
      <c r="AH16" s="243"/>
      <c r="AI16" s="243"/>
      <c r="AJ16" s="243"/>
      <c r="AK16" s="243"/>
      <c r="AL16" s="243"/>
      <c r="AM16" s="243"/>
      <c r="AN16" s="243"/>
      <c r="AO16" s="243"/>
      <c r="AP16" s="243"/>
      <c r="AQ16" s="243"/>
      <c r="AR16" s="256"/>
      <c r="AT16" s="254">
        <v>5</v>
      </c>
      <c r="AU16" s="242"/>
      <c r="AV16" s="243"/>
      <c r="AW16" s="243"/>
      <c r="AX16" s="243"/>
      <c r="AY16" s="243"/>
      <c r="AZ16" s="243"/>
      <c r="BA16" s="243"/>
      <c r="BB16" s="243"/>
      <c r="BC16" s="243"/>
      <c r="BD16" s="243"/>
      <c r="BE16" s="243"/>
      <c r="BF16" s="243"/>
      <c r="BG16" s="256"/>
    </row>
    <row r="17" spans="1:59">
      <c r="A17" s="254">
        <v>6</v>
      </c>
      <c r="B17" s="242"/>
      <c r="C17" s="243"/>
      <c r="D17" s="243"/>
      <c r="E17" s="243"/>
      <c r="F17" s="243"/>
      <c r="G17" s="243"/>
      <c r="H17" s="243"/>
      <c r="I17" s="243"/>
      <c r="J17" s="243"/>
      <c r="K17" s="243"/>
      <c r="L17" s="243"/>
      <c r="M17" s="243"/>
      <c r="N17" s="256"/>
      <c r="P17" s="254">
        <v>6</v>
      </c>
      <c r="Q17" s="242"/>
      <c r="R17" s="243"/>
      <c r="S17" s="243"/>
      <c r="T17" s="243"/>
      <c r="U17" s="243"/>
      <c r="V17" s="243"/>
      <c r="W17" s="243"/>
      <c r="X17" s="243"/>
      <c r="Y17" s="243"/>
      <c r="Z17" s="243"/>
      <c r="AA17" s="243"/>
      <c r="AB17" s="243"/>
      <c r="AC17" s="256"/>
      <c r="AE17" s="254">
        <v>6</v>
      </c>
      <c r="AF17" s="242"/>
      <c r="AG17" s="243"/>
      <c r="AH17" s="243"/>
      <c r="AI17" s="243"/>
      <c r="AJ17" s="243"/>
      <c r="AK17" s="243"/>
      <c r="AL17" s="243"/>
      <c r="AM17" s="243"/>
      <c r="AN17" s="243"/>
      <c r="AO17" s="243"/>
      <c r="AP17" s="243"/>
      <c r="AQ17" s="243"/>
      <c r="AR17" s="256"/>
      <c r="AT17" s="254">
        <v>6</v>
      </c>
      <c r="AU17" s="242"/>
      <c r="AV17" s="243"/>
      <c r="AW17" s="243"/>
      <c r="AX17" s="243"/>
      <c r="AY17" s="243"/>
      <c r="AZ17" s="243"/>
      <c r="BA17" s="243"/>
      <c r="BB17" s="243"/>
      <c r="BC17" s="243"/>
      <c r="BD17" s="243"/>
      <c r="BE17" s="243"/>
      <c r="BF17" s="243"/>
      <c r="BG17" s="256"/>
    </row>
    <row r="18" spans="1:59">
      <c r="A18" s="254">
        <v>7</v>
      </c>
      <c r="B18" s="242"/>
      <c r="C18" s="243"/>
      <c r="D18" s="243"/>
      <c r="E18" s="243"/>
      <c r="F18" s="243"/>
      <c r="G18" s="243"/>
      <c r="H18" s="243"/>
      <c r="I18" s="243"/>
      <c r="J18" s="243"/>
      <c r="K18" s="243"/>
      <c r="L18" s="243"/>
      <c r="M18" s="243"/>
      <c r="N18" s="256"/>
      <c r="P18" s="254">
        <v>7</v>
      </c>
      <c r="Q18" s="242"/>
      <c r="R18" s="243"/>
      <c r="S18" s="243"/>
      <c r="T18" s="243"/>
      <c r="U18" s="243"/>
      <c r="V18" s="243"/>
      <c r="W18" s="243"/>
      <c r="X18" s="243"/>
      <c r="Y18" s="243"/>
      <c r="Z18" s="243"/>
      <c r="AA18" s="243"/>
      <c r="AB18" s="243"/>
      <c r="AC18" s="256"/>
      <c r="AE18" s="254">
        <v>7</v>
      </c>
      <c r="AF18" s="242"/>
      <c r="AG18" s="243"/>
      <c r="AH18" s="243"/>
      <c r="AI18" s="243"/>
      <c r="AJ18" s="243"/>
      <c r="AK18" s="243"/>
      <c r="AL18" s="243"/>
      <c r="AM18" s="243"/>
      <c r="AN18" s="243"/>
      <c r="AO18" s="243"/>
      <c r="AP18" s="243"/>
      <c r="AQ18" s="243"/>
      <c r="AR18" s="256"/>
      <c r="AT18" s="254">
        <v>7</v>
      </c>
      <c r="AU18" s="242"/>
      <c r="AV18" s="243"/>
      <c r="AW18" s="243"/>
      <c r="AX18" s="243"/>
      <c r="AY18" s="243"/>
      <c r="AZ18" s="243"/>
      <c r="BA18" s="243"/>
      <c r="BB18" s="243"/>
      <c r="BC18" s="243"/>
      <c r="BD18" s="243"/>
      <c r="BE18" s="243"/>
      <c r="BF18" s="243"/>
      <c r="BG18" s="256"/>
    </row>
    <row r="19" spans="1:59">
      <c r="A19" s="254">
        <v>8</v>
      </c>
      <c r="B19" s="242"/>
      <c r="C19" s="243"/>
      <c r="D19" s="243"/>
      <c r="E19" s="243"/>
      <c r="F19" s="243"/>
      <c r="G19" s="243"/>
      <c r="H19" s="243"/>
      <c r="I19" s="243"/>
      <c r="J19" s="243"/>
      <c r="K19" s="243"/>
      <c r="L19" s="243"/>
      <c r="M19" s="243"/>
      <c r="N19" s="256"/>
      <c r="P19" s="254">
        <v>8</v>
      </c>
      <c r="Q19" s="242"/>
      <c r="R19" s="243"/>
      <c r="S19" s="243"/>
      <c r="T19" s="243"/>
      <c r="U19" s="243"/>
      <c r="V19" s="243"/>
      <c r="W19" s="243"/>
      <c r="X19" s="243"/>
      <c r="Y19" s="243"/>
      <c r="Z19" s="243"/>
      <c r="AA19" s="243"/>
      <c r="AB19" s="243"/>
      <c r="AC19" s="256"/>
      <c r="AE19" s="254">
        <v>8</v>
      </c>
      <c r="AF19" s="242"/>
      <c r="AG19" s="243"/>
      <c r="AH19" s="243"/>
      <c r="AI19" s="243"/>
      <c r="AJ19" s="243"/>
      <c r="AK19" s="243"/>
      <c r="AL19" s="243"/>
      <c r="AM19" s="243"/>
      <c r="AN19" s="243"/>
      <c r="AO19" s="243"/>
      <c r="AP19" s="243"/>
      <c r="AQ19" s="243"/>
      <c r="AR19" s="256"/>
      <c r="AT19" s="254">
        <v>8</v>
      </c>
      <c r="AU19" s="242"/>
      <c r="AV19" s="243"/>
      <c r="AW19" s="243"/>
      <c r="AX19" s="243"/>
      <c r="AY19" s="243"/>
      <c r="AZ19" s="243"/>
      <c r="BA19" s="243"/>
      <c r="BB19" s="243"/>
      <c r="BC19" s="243"/>
      <c r="BD19" s="243"/>
      <c r="BE19" s="243"/>
      <c r="BF19" s="243"/>
      <c r="BG19" s="256"/>
    </row>
    <row r="20" spans="1:59">
      <c r="A20" s="254">
        <v>9</v>
      </c>
      <c r="B20" s="242"/>
      <c r="C20" s="243"/>
      <c r="D20" s="243"/>
      <c r="E20" s="243"/>
      <c r="F20" s="243"/>
      <c r="G20" s="243"/>
      <c r="H20" s="243"/>
      <c r="I20" s="243"/>
      <c r="J20" s="243"/>
      <c r="K20" s="243"/>
      <c r="L20" s="243"/>
      <c r="M20" s="243"/>
      <c r="N20" s="256"/>
      <c r="P20" s="254">
        <v>9</v>
      </c>
      <c r="Q20" s="242"/>
      <c r="R20" s="243"/>
      <c r="S20" s="243"/>
      <c r="T20" s="243"/>
      <c r="U20" s="243"/>
      <c r="V20" s="243"/>
      <c r="W20" s="243"/>
      <c r="X20" s="243"/>
      <c r="Y20" s="243"/>
      <c r="Z20" s="243"/>
      <c r="AA20" s="243"/>
      <c r="AB20" s="243"/>
      <c r="AC20" s="256"/>
      <c r="AE20" s="254">
        <v>9</v>
      </c>
      <c r="AF20" s="242"/>
      <c r="AG20" s="243"/>
      <c r="AH20" s="243"/>
      <c r="AI20" s="243"/>
      <c r="AJ20" s="243"/>
      <c r="AK20" s="243"/>
      <c r="AL20" s="243"/>
      <c r="AM20" s="243"/>
      <c r="AN20" s="243"/>
      <c r="AO20" s="243"/>
      <c r="AP20" s="243"/>
      <c r="AQ20" s="243"/>
      <c r="AR20" s="256"/>
      <c r="AT20" s="254">
        <v>9</v>
      </c>
      <c r="AU20" s="242"/>
      <c r="AV20" s="243"/>
      <c r="AW20" s="243"/>
      <c r="AX20" s="243"/>
      <c r="AY20" s="243"/>
      <c r="AZ20" s="243"/>
      <c r="BA20" s="243"/>
      <c r="BB20" s="243"/>
      <c r="BC20" s="243"/>
      <c r="BD20" s="243"/>
      <c r="BE20" s="243"/>
      <c r="BF20" s="243"/>
      <c r="BG20" s="256"/>
    </row>
    <row r="21" spans="1:59">
      <c r="A21" s="254">
        <v>10</v>
      </c>
      <c r="B21" s="242"/>
      <c r="C21" s="243"/>
      <c r="D21" s="243"/>
      <c r="E21" s="243"/>
      <c r="F21" s="243"/>
      <c r="G21" s="243"/>
      <c r="H21" s="243"/>
      <c r="I21" s="243"/>
      <c r="J21" s="243"/>
      <c r="K21" s="243"/>
      <c r="L21" s="243"/>
      <c r="M21" s="243"/>
      <c r="N21" s="256"/>
      <c r="P21" s="254">
        <v>10</v>
      </c>
      <c r="Q21" s="242"/>
      <c r="R21" s="243"/>
      <c r="S21" s="243"/>
      <c r="T21" s="243"/>
      <c r="U21" s="243"/>
      <c r="V21" s="243"/>
      <c r="W21" s="243"/>
      <c r="X21" s="243"/>
      <c r="Y21" s="243"/>
      <c r="Z21" s="243"/>
      <c r="AA21" s="243"/>
      <c r="AB21" s="243"/>
      <c r="AC21" s="256"/>
      <c r="AE21" s="254">
        <v>10</v>
      </c>
      <c r="AF21" s="242"/>
      <c r="AG21" s="243"/>
      <c r="AH21" s="243"/>
      <c r="AI21" s="243"/>
      <c r="AJ21" s="243"/>
      <c r="AK21" s="243"/>
      <c r="AL21" s="243"/>
      <c r="AM21" s="243"/>
      <c r="AN21" s="243"/>
      <c r="AO21" s="243"/>
      <c r="AP21" s="243"/>
      <c r="AQ21" s="243"/>
      <c r="AR21" s="256"/>
      <c r="AT21" s="254">
        <v>10</v>
      </c>
      <c r="AU21" s="242"/>
      <c r="AV21" s="243"/>
      <c r="AW21" s="243"/>
      <c r="AX21" s="243"/>
      <c r="AY21" s="243"/>
      <c r="AZ21" s="243"/>
      <c r="BA21" s="243"/>
      <c r="BB21" s="243"/>
      <c r="BC21" s="243"/>
      <c r="BD21" s="243"/>
      <c r="BE21" s="243"/>
      <c r="BF21" s="243"/>
      <c r="BG21" s="256"/>
    </row>
    <row r="22" spans="1:59">
      <c r="A22" s="254">
        <v>11</v>
      </c>
      <c r="B22" s="242"/>
      <c r="C22" s="243"/>
      <c r="D22" s="243"/>
      <c r="E22" s="243"/>
      <c r="F22" s="243"/>
      <c r="G22" s="243"/>
      <c r="H22" s="243"/>
      <c r="I22" s="243"/>
      <c r="J22" s="243"/>
      <c r="K22" s="243"/>
      <c r="L22" s="243"/>
      <c r="M22" s="243"/>
      <c r="N22" s="256"/>
      <c r="P22" s="254">
        <v>11</v>
      </c>
      <c r="Q22" s="242"/>
      <c r="R22" s="243"/>
      <c r="S22" s="243"/>
      <c r="T22" s="243"/>
      <c r="U22" s="243"/>
      <c r="V22" s="243"/>
      <c r="W22" s="243"/>
      <c r="X22" s="243"/>
      <c r="Y22" s="243"/>
      <c r="Z22" s="243"/>
      <c r="AA22" s="243"/>
      <c r="AB22" s="243"/>
      <c r="AC22" s="256"/>
      <c r="AE22" s="254">
        <v>11</v>
      </c>
      <c r="AF22" s="242"/>
      <c r="AG22" s="243"/>
      <c r="AH22" s="243"/>
      <c r="AI22" s="243"/>
      <c r="AJ22" s="243"/>
      <c r="AK22" s="243"/>
      <c r="AL22" s="243"/>
      <c r="AM22" s="243"/>
      <c r="AN22" s="243"/>
      <c r="AO22" s="243"/>
      <c r="AP22" s="243"/>
      <c r="AQ22" s="243"/>
      <c r="AR22" s="256"/>
      <c r="AT22" s="254">
        <v>11</v>
      </c>
      <c r="AU22" s="242"/>
      <c r="AV22" s="243"/>
      <c r="AW22" s="243"/>
      <c r="AX22" s="243"/>
      <c r="AY22" s="243"/>
      <c r="AZ22" s="243"/>
      <c r="BA22" s="243"/>
      <c r="BB22" s="243"/>
      <c r="BC22" s="243"/>
      <c r="BD22" s="243"/>
      <c r="BE22" s="243"/>
      <c r="BF22" s="243"/>
      <c r="BG22" s="256"/>
    </row>
    <row r="23" spans="1:59">
      <c r="A23" s="254">
        <v>12</v>
      </c>
      <c r="B23" s="242"/>
      <c r="C23" s="243"/>
      <c r="D23" s="243"/>
      <c r="E23" s="243"/>
      <c r="F23" s="243"/>
      <c r="G23" s="243"/>
      <c r="H23" s="243"/>
      <c r="I23" s="243"/>
      <c r="J23" s="243"/>
      <c r="K23" s="243"/>
      <c r="L23" s="243"/>
      <c r="M23" s="243"/>
      <c r="N23" s="256"/>
      <c r="P23" s="254">
        <v>12</v>
      </c>
      <c r="Q23" s="242"/>
      <c r="R23" s="243"/>
      <c r="S23" s="243"/>
      <c r="T23" s="243"/>
      <c r="U23" s="243"/>
      <c r="V23" s="243"/>
      <c r="W23" s="243"/>
      <c r="X23" s="243"/>
      <c r="Y23" s="243"/>
      <c r="Z23" s="243"/>
      <c r="AA23" s="243"/>
      <c r="AB23" s="243"/>
      <c r="AC23" s="256"/>
      <c r="AE23" s="254">
        <v>12</v>
      </c>
      <c r="AF23" s="242"/>
      <c r="AG23" s="243"/>
      <c r="AH23" s="243"/>
      <c r="AI23" s="243"/>
      <c r="AJ23" s="243"/>
      <c r="AK23" s="243"/>
      <c r="AL23" s="243"/>
      <c r="AM23" s="243"/>
      <c r="AN23" s="243"/>
      <c r="AO23" s="243"/>
      <c r="AP23" s="243"/>
      <c r="AQ23" s="243"/>
      <c r="AR23" s="256"/>
      <c r="AT23" s="254">
        <v>12</v>
      </c>
      <c r="AU23" s="242"/>
      <c r="AV23" s="243"/>
      <c r="AW23" s="243"/>
      <c r="AX23" s="243"/>
      <c r="AY23" s="243"/>
      <c r="AZ23" s="243"/>
      <c r="BA23" s="243"/>
      <c r="BB23" s="243"/>
      <c r="BC23" s="243"/>
      <c r="BD23" s="243"/>
      <c r="BE23" s="243"/>
      <c r="BF23" s="243"/>
      <c r="BG23" s="256"/>
    </row>
    <row r="24" spans="1:59">
      <c r="A24" s="254">
        <v>13</v>
      </c>
      <c r="B24" s="242"/>
      <c r="C24" s="243"/>
      <c r="D24" s="243"/>
      <c r="E24" s="243"/>
      <c r="F24" s="243"/>
      <c r="G24" s="243"/>
      <c r="H24" s="243"/>
      <c r="I24" s="243"/>
      <c r="J24" s="243"/>
      <c r="K24" s="243"/>
      <c r="L24" s="243"/>
      <c r="M24" s="243"/>
      <c r="N24" s="256"/>
      <c r="P24" s="254">
        <v>13</v>
      </c>
      <c r="Q24" s="242"/>
      <c r="R24" s="243"/>
      <c r="S24" s="243"/>
      <c r="T24" s="243"/>
      <c r="U24" s="243"/>
      <c r="V24" s="243"/>
      <c r="W24" s="243"/>
      <c r="X24" s="243"/>
      <c r="Y24" s="243"/>
      <c r="Z24" s="243"/>
      <c r="AA24" s="243"/>
      <c r="AB24" s="243"/>
      <c r="AC24" s="256"/>
      <c r="AE24" s="254">
        <v>13</v>
      </c>
      <c r="AF24" s="242"/>
      <c r="AG24" s="243"/>
      <c r="AH24" s="243"/>
      <c r="AI24" s="243"/>
      <c r="AJ24" s="243"/>
      <c r="AK24" s="243"/>
      <c r="AL24" s="243"/>
      <c r="AM24" s="243"/>
      <c r="AN24" s="243"/>
      <c r="AO24" s="243"/>
      <c r="AP24" s="243"/>
      <c r="AQ24" s="243"/>
      <c r="AR24" s="256"/>
      <c r="AT24" s="254">
        <v>13</v>
      </c>
      <c r="AU24" s="242"/>
      <c r="AV24" s="243"/>
      <c r="AW24" s="243"/>
      <c r="AX24" s="243"/>
      <c r="AY24" s="243"/>
      <c r="AZ24" s="243"/>
      <c r="BA24" s="243"/>
      <c r="BB24" s="243"/>
      <c r="BC24" s="243"/>
      <c r="BD24" s="243"/>
      <c r="BE24" s="243"/>
      <c r="BF24" s="243"/>
      <c r="BG24" s="256"/>
    </row>
    <row r="25" spans="1:59">
      <c r="A25" s="254">
        <v>14</v>
      </c>
      <c r="B25" s="242"/>
      <c r="C25" s="243"/>
      <c r="D25" s="243"/>
      <c r="E25" s="243"/>
      <c r="F25" s="243"/>
      <c r="G25" s="243"/>
      <c r="H25" s="243"/>
      <c r="I25" s="243"/>
      <c r="J25" s="243"/>
      <c r="K25" s="243"/>
      <c r="L25" s="243"/>
      <c r="M25" s="243"/>
      <c r="N25" s="256"/>
      <c r="P25" s="254">
        <v>14</v>
      </c>
      <c r="Q25" s="242"/>
      <c r="R25" s="243"/>
      <c r="S25" s="243"/>
      <c r="T25" s="243"/>
      <c r="U25" s="243"/>
      <c r="V25" s="243"/>
      <c r="W25" s="243"/>
      <c r="X25" s="243"/>
      <c r="Y25" s="243"/>
      <c r="Z25" s="243"/>
      <c r="AA25" s="243"/>
      <c r="AB25" s="243"/>
      <c r="AC25" s="256"/>
      <c r="AE25" s="254">
        <v>14</v>
      </c>
      <c r="AF25" s="242"/>
      <c r="AG25" s="243"/>
      <c r="AH25" s="243"/>
      <c r="AI25" s="243"/>
      <c r="AJ25" s="243"/>
      <c r="AK25" s="243"/>
      <c r="AL25" s="243"/>
      <c r="AM25" s="243"/>
      <c r="AN25" s="243"/>
      <c r="AO25" s="243"/>
      <c r="AP25" s="243"/>
      <c r="AQ25" s="243"/>
      <c r="AR25" s="256"/>
      <c r="AT25" s="254">
        <v>14</v>
      </c>
      <c r="AU25" s="242"/>
      <c r="AV25" s="243"/>
      <c r="AW25" s="243"/>
      <c r="AX25" s="243"/>
      <c r="AY25" s="243"/>
      <c r="AZ25" s="243"/>
      <c r="BA25" s="243"/>
      <c r="BB25" s="243"/>
      <c r="BC25" s="243"/>
      <c r="BD25" s="243"/>
      <c r="BE25" s="243"/>
      <c r="BF25" s="243"/>
      <c r="BG25" s="256"/>
    </row>
    <row r="26" spans="1:59">
      <c r="A26" s="254">
        <v>15</v>
      </c>
      <c r="B26" s="242"/>
      <c r="C26" s="243"/>
      <c r="D26" s="243"/>
      <c r="E26" s="243"/>
      <c r="F26" s="243"/>
      <c r="G26" s="243"/>
      <c r="H26" s="243"/>
      <c r="I26" s="243"/>
      <c r="J26" s="243"/>
      <c r="K26" s="243"/>
      <c r="L26" s="243"/>
      <c r="M26" s="243"/>
      <c r="N26" s="256"/>
      <c r="P26" s="254">
        <v>15</v>
      </c>
      <c r="Q26" s="242"/>
      <c r="R26" s="243"/>
      <c r="S26" s="243"/>
      <c r="T26" s="243"/>
      <c r="U26" s="243"/>
      <c r="V26" s="243"/>
      <c r="W26" s="243"/>
      <c r="X26" s="243"/>
      <c r="Y26" s="243"/>
      <c r="Z26" s="243"/>
      <c r="AA26" s="243"/>
      <c r="AB26" s="243"/>
      <c r="AC26" s="256"/>
      <c r="AE26" s="254">
        <v>15</v>
      </c>
      <c r="AF26" s="242"/>
      <c r="AG26" s="243"/>
      <c r="AH26" s="243"/>
      <c r="AI26" s="243"/>
      <c r="AJ26" s="243"/>
      <c r="AK26" s="243"/>
      <c r="AL26" s="243"/>
      <c r="AM26" s="243"/>
      <c r="AN26" s="243"/>
      <c r="AO26" s="243"/>
      <c r="AP26" s="243"/>
      <c r="AQ26" s="243"/>
      <c r="AR26" s="256"/>
      <c r="AT26" s="254">
        <v>15</v>
      </c>
      <c r="AU26" s="242"/>
      <c r="AV26" s="243"/>
      <c r="AW26" s="243"/>
      <c r="AX26" s="243"/>
      <c r="AY26" s="243"/>
      <c r="AZ26" s="243"/>
      <c r="BA26" s="243"/>
      <c r="BB26" s="243"/>
      <c r="BC26" s="243"/>
      <c r="BD26" s="243"/>
      <c r="BE26" s="243"/>
      <c r="BF26" s="243"/>
      <c r="BG26" s="256"/>
    </row>
    <row r="27" spans="1:59">
      <c r="A27" s="254">
        <v>16</v>
      </c>
      <c r="B27" s="242"/>
      <c r="C27" s="243"/>
      <c r="D27" s="243"/>
      <c r="E27" s="243"/>
      <c r="F27" s="243"/>
      <c r="G27" s="243"/>
      <c r="H27" s="243"/>
      <c r="I27" s="243"/>
      <c r="J27" s="243"/>
      <c r="K27" s="243"/>
      <c r="L27" s="243"/>
      <c r="M27" s="243"/>
      <c r="N27" s="256"/>
      <c r="P27" s="254">
        <v>16</v>
      </c>
      <c r="Q27" s="242"/>
      <c r="R27" s="243"/>
      <c r="S27" s="243"/>
      <c r="T27" s="243"/>
      <c r="U27" s="243"/>
      <c r="V27" s="243"/>
      <c r="W27" s="243"/>
      <c r="X27" s="243"/>
      <c r="Y27" s="243"/>
      <c r="Z27" s="243"/>
      <c r="AA27" s="243"/>
      <c r="AB27" s="243"/>
      <c r="AC27" s="256"/>
      <c r="AE27" s="254">
        <v>16</v>
      </c>
      <c r="AF27" s="242"/>
      <c r="AG27" s="243"/>
      <c r="AH27" s="243"/>
      <c r="AI27" s="243"/>
      <c r="AJ27" s="243"/>
      <c r="AK27" s="243"/>
      <c r="AL27" s="243"/>
      <c r="AM27" s="243"/>
      <c r="AN27" s="243"/>
      <c r="AO27" s="243"/>
      <c r="AP27" s="243"/>
      <c r="AQ27" s="243"/>
      <c r="AR27" s="256"/>
      <c r="AT27" s="254">
        <v>16</v>
      </c>
      <c r="AU27" s="242"/>
      <c r="AV27" s="243"/>
      <c r="AW27" s="243"/>
      <c r="AX27" s="243"/>
      <c r="AY27" s="243"/>
      <c r="AZ27" s="243"/>
      <c r="BA27" s="243"/>
      <c r="BB27" s="243"/>
      <c r="BC27" s="243"/>
      <c r="BD27" s="243"/>
      <c r="BE27" s="243"/>
      <c r="BF27" s="243"/>
      <c r="BG27" s="256"/>
    </row>
    <row r="28" spans="1:59">
      <c r="A28" s="254">
        <v>17</v>
      </c>
      <c r="B28" s="242"/>
      <c r="C28" s="243"/>
      <c r="D28" s="243"/>
      <c r="E28" s="243"/>
      <c r="F28" s="243"/>
      <c r="G28" s="243"/>
      <c r="H28" s="243"/>
      <c r="I28" s="243"/>
      <c r="J28" s="243"/>
      <c r="K28" s="243"/>
      <c r="L28" s="243"/>
      <c r="M28" s="243"/>
      <c r="N28" s="256"/>
      <c r="P28" s="254">
        <v>17</v>
      </c>
      <c r="Q28" s="242"/>
      <c r="R28" s="243"/>
      <c r="S28" s="243"/>
      <c r="T28" s="243"/>
      <c r="U28" s="243"/>
      <c r="V28" s="243"/>
      <c r="W28" s="243"/>
      <c r="X28" s="243"/>
      <c r="Y28" s="243"/>
      <c r="Z28" s="243"/>
      <c r="AA28" s="243"/>
      <c r="AB28" s="243"/>
      <c r="AC28" s="256"/>
      <c r="AE28" s="254">
        <v>17</v>
      </c>
      <c r="AF28" s="242"/>
      <c r="AG28" s="243"/>
      <c r="AH28" s="243"/>
      <c r="AI28" s="243"/>
      <c r="AJ28" s="243"/>
      <c r="AK28" s="243"/>
      <c r="AL28" s="243"/>
      <c r="AM28" s="243"/>
      <c r="AN28" s="243"/>
      <c r="AO28" s="243"/>
      <c r="AP28" s="243"/>
      <c r="AQ28" s="243"/>
      <c r="AR28" s="256"/>
      <c r="AT28" s="254">
        <v>17</v>
      </c>
      <c r="AU28" s="242"/>
      <c r="AV28" s="243"/>
      <c r="AW28" s="243"/>
      <c r="AX28" s="243"/>
      <c r="AY28" s="243"/>
      <c r="AZ28" s="243"/>
      <c r="BA28" s="243"/>
      <c r="BB28" s="243"/>
      <c r="BC28" s="243"/>
      <c r="BD28" s="243"/>
      <c r="BE28" s="243"/>
      <c r="BF28" s="243"/>
      <c r="BG28" s="256"/>
    </row>
    <row r="29" spans="1:59">
      <c r="A29" s="254">
        <v>18</v>
      </c>
      <c r="B29" s="242"/>
      <c r="C29" s="243"/>
      <c r="D29" s="243"/>
      <c r="E29" s="243"/>
      <c r="F29" s="243"/>
      <c r="G29" s="243"/>
      <c r="H29" s="243"/>
      <c r="I29" s="243"/>
      <c r="J29" s="243"/>
      <c r="K29" s="243"/>
      <c r="L29" s="243"/>
      <c r="M29" s="243"/>
      <c r="N29" s="256"/>
      <c r="P29" s="254">
        <v>18</v>
      </c>
      <c r="Q29" s="242"/>
      <c r="R29" s="243"/>
      <c r="S29" s="243"/>
      <c r="T29" s="243"/>
      <c r="U29" s="243"/>
      <c r="V29" s="243"/>
      <c r="W29" s="243"/>
      <c r="X29" s="243"/>
      <c r="Y29" s="243"/>
      <c r="Z29" s="243"/>
      <c r="AA29" s="243"/>
      <c r="AB29" s="243"/>
      <c r="AC29" s="256"/>
      <c r="AE29" s="254">
        <v>18</v>
      </c>
      <c r="AF29" s="242"/>
      <c r="AG29" s="243"/>
      <c r="AH29" s="243"/>
      <c r="AI29" s="243"/>
      <c r="AJ29" s="243"/>
      <c r="AK29" s="243"/>
      <c r="AL29" s="243"/>
      <c r="AM29" s="243"/>
      <c r="AN29" s="243"/>
      <c r="AO29" s="243"/>
      <c r="AP29" s="243"/>
      <c r="AQ29" s="243"/>
      <c r="AR29" s="256"/>
      <c r="AT29" s="254">
        <v>18</v>
      </c>
      <c r="AU29" s="242"/>
      <c r="AV29" s="243"/>
      <c r="AW29" s="243"/>
      <c r="AX29" s="243"/>
      <c r="AY29" s="243"/>
      <c r="AZ29" s="243"/>
      <c r="BA29" s="243"/>
      <c r="BB29" s="243"/>
      <c r="BC29" s="243"/>
      <c r="BD29" s="243"/>
      <c r="BE29" s="243"/>
      <c r="BF29" s="243"/>
      <c r="BG29" s="256"/>
    </row>
    <row r="30" spans="1:59">
      <c r="A30" s="254">
        <v>19</v>
      </c>
      <c r="B30" s="242"/>
      <c r="C30" s="243"/>
      <c r="D30" s="243"/>
      <c r="E30" s="243"/>
      <c r="F30" s="243"/>
      <c r="G30" s="243"/>
      <c r="H30" s="243"/>
      <c r="I30" s="243"/>
      <c r="J30" s="243"/>
      <c r="K30" s="243"/>
      <c r="L30" s="243"/>
      <c r="M30" s="243"/>
      <c r="N30" s="256"/>
      <c r="P30" s="254">
        <v>19</v>
      </c>
      <c r="Q30" s="242"/>
      <c r="R30" s="243"/>
      <c r="S30" s="243"/>
      <c r="T30" s="243"/>
      <c r="U30" s="243"/>
      <c r="V30" s="243"/>
      <c r="W30" s="243"/>
      <c r="X30" s="243"/>
      <c r="Y30" s="243"/>
      <c r="Z30" s="243"/>
      <c r="AA30" s="243"/>
      <c r="AB30" s="243"/>
      <c r="AC30" s="256"/>
      <c r="AE30" s="254">
        <v>19</v>
      </c>
      <c r="AF30" s="242"/>
      <c r="AG30" s="243"/>
      <c r="AH30" s="243"/>
      <c r="AI30" s="243"/>
      <c r="AJ30" s="243"/>
      <c r="AK30" s="243"/>
      <c r="AL30" s="243"/>
      <c r="AM30" s="243"/>
      <c r="AN30" s="243"/>
      <c r="AO30" s="243"/>
      <c r="AP30" s="243"/>
      <c r="AQ30" s="243"/>
      <c r="AR30" s="256"/>
      <c r="AT30" s="254">
        <v>19</v>
      </c>
      <c r="AU30" s="242"/>
      <c r="AV30" s="243"/>
      <c r="AW30" s="243"/>
      <c r="AX30" s="243"/>
      <c r="AY30" s="243"/>
      <c r="AZ30" s="243"/>
      <c r="BA30" s="243"/>
      <c r="BB30" s="243"/>
      <c r="BC30" s="243"/>
      <c r="BD30" s="243"/>
      <c r="BE30" s="243"/>
      <c r="BF30" s="243"/>
      <c r="BG30" s="256"/>
    </row>
    <row r="31" spans="1:59">
      <c r="A31" s="254">
        <v>20</v>
      </c>
      <c r="B31" s="242"/>
      <c r="C31" s="243"/>
      <c r="D31" s="243"/>
      <c r="E31" s="243"/>
      <c r="F31" s="243"/>
      <c r="G31" s="243"/>
      <c r="H31" s="243"/>
      <c r="I31" s="243"/>
      <c r="J31" s="243"/>
      <c r="K31" s="243"/>
      <c r="L31" s="243"/>
      <c r="M31" s="243"/>
      <c r="N31" s="256"/>
      <c r="P31" s="254">
        <v>20</v>
      </c>
      <c r="Q31" s="242"/>
      <c r="R31" s="243"/>
      <c r="S31" s="243"/>
      <c r="T31" s="243"/>
      <c r="U31" s="243"/>
      <c r="V31" s="243"/>
      <c r="W31" s="243"/>
      <c r="X31" s="243"/>
      <c r="Y31" s="243"/>
      <c r="Z31" s="243"/>
      <c r="AA31" s="243"/>
      <c r="AB31" s="243"/>
      <c r="AC31" s="256"/>
      <c r="AE31" s="254">
        <v>20</v>
      </c>
      <c r="AF31" s="242"/>
      <c r="AG31" s="243"/>
      <c r="AH31" s="243"/>
      <c r="AI31" s="243"/>
      <c r="AJ31" s="243"/>
      <c r="AK31" s="243"/>
      <c r="AL31" s="243"/>
      <c r="AM31" s="243"/>
      <c r="AN31" s="243"/>
      <c r="AO31" s="243"/>
      <c r="AP31" s="243"/>
      <c r="AQ31" s="243"/>
      <c r="AR31" s="256"/>
      <c r="AT31" s="254">
        <v>20</v>
      </c>
      <c r="AU31" s="242"/>
      <c r="AV31" s="243"/>
      <c r="AW31" s="243"/>
      <c r="AX31" s="243"/>
      <c r="AY31" s="243"/>
      <c r="AZ31" s="243"/>
      <c r="BA31" s="243"/>
      <c r="BB31" s="243"/>
      <c r="BC31" s="243"/>
      <c r="BD31" s="243"/>
      <c r="BE31" s="243"/>
      <c r="BF31" s="243"/>
      <c r="BG31" s="256"/>
    </row>
    <row r="32" spans="1:59">
      <c r="A32" s="254">
        <v>21</v>
      </c>
      <c r="B32" s="242"/>
      <c r="C32" s="243"/>
      <c r="D32" s="243"/>
      <c r="E32" s="243"/>
      <c r="F32" s="243"/>
      <c r="G32" s="243"/>
      <c r="H32" s="243"/>
      <c r="I32" s="243"/>
      <c r="J32" s="243"/>
      <c r="K32" s="243"/>
      <c r="L32" s="243"/>
      <c r="M32" s="243"/>
      <c r="N32" s="256"/>
      <c r="P32" s="254">
        <v>21</v>
      </c>
      <c r="Q32" s="242"/>
      <c r="R32" s="243"/>
      <c r="S32" s="243"/>
      <c r="T32" s="243"/>
      <c r="U32" s="243"/>
      <c r="V32" s="243"/>
      <c r="W32" s="243"/>
      <c r="X32" s="243"/>
      <c r="Y32" s="243"/>
      <c r="Z32" s="243"/>
      <c r="AA32" s="243"/>
      <c r="AB32" s="243"/>
      <c r="AC32" s="256"/>
      <c r="AE32" s="254">
        <v>21</v>
      </c>
      <c r="AF32" s="242"/>
      <c r="AG32" s="243"/>
      <c r="AH32" s="243"/>
      <c r="AI32" s="243"/>
      <c r="AJ32" s="243"/>
      <c r="AK32" s="243"/>
      <c r="AL32" s="243"/>
      <c r="AM32" s="243"/>
      <c r="AN32" s="243"/>
      <c r="AO32" s="243"/>
      <c r="AP32" s="243"/>
      <c r="AQ32" s="243"/>
      <c r="AR32" s="256"/>
      <c r="AT32" s="254">
        <v>21</v>
      </c>
      <c r="AU32" s="242"/>
      <c r="AV32" s="243"/>
      <c r="AW32" s="243"/>
      <c r="AX32" s="243"/>
      <c r="AY32" s="243"/>
      <c r="AZ32" s="243"/>
      <c r="BA32" s="243"/>
      <c r="BB32" s="243"/>
      <c r="BC32" s="243"/>
      <c r="BD32" s="243"/>
      <c r="BE32" s="243"/>
      <c r="BF32" s="243"/>
      <c r="BG32" s="256"/>
    </row>
    <row r="33" spans="1:59">
      <c r="A33" s="254">
        <v>22</v>
      </c>
      <c r="B33" s="242"/>
      <c r="C33" s="243"/>
      <c r="D33" s="243"/>
      <c r="E33" s="243"/>
      <c r="F33" s="243"/>
      <c r="G33" s="243"/>
      <c r="H33" s="243"/>
      <c r="I33" s="243"/>
      <c r="J33" s="243"/>
      <c r="K33" s="243"/>
      <c r="L33" s="243"/>
      <c r="M33" s="243"/>
      <c r="N33" s="256"/>
      <c r="P33" s="254">
        <v>22</v>
      </c>
      <c r="Q33" s="242"/>
      <c r="R33" s="243"/>
      <c r="S33" s="243"/>
      <c r="T33" s="243"/>
      <c r="U33" s="243"/>
      <c r="V33" s="243"/>
      <c r="W33" s="243"/>
      <c r="X33" s="243"/>
      <c r="Y33" s="243"/>
      <c r="Z33" s="243"/>
      <c r="AA33" s="243"/>
      <c r="AB33" s="243"/>
      <c r="AC33" s="256"/>
      <c r="AE33" s="254">
        <v>22</v>
      </c>
      <c r="AF33" s="242"/>
      <c r="AG33" s="243"/>
      <c r="AH33" s="243"/>
      <c r="AI33" s="243"/>
      <c r="AJ33" s="243"/>
      <c r="AK33" s="243"/>
      <c r="AL33" s="243"/>
      <c r="AM33" s="243"/>
      <c r="AN33" s="243"/>
      <c r="AO33" s="243"/>
      <c r="AP33" s="243"/>
      <c r="AQ33" s="243"/>
      <c r="AR33" s="256"/>
      <c r="AT33" s="254">
        <v>22</v>
      </c>
      <c r="AU33" s="242"/>
      <c r="AV33" s="243"/>
      <c r="AW33" s="243"/>
      <c r="AX33" s="243"/>
      <c r="AY33" s="243"/>
      <c r="AZ33" s="243"/>
      <c r="BA33" s="243"/>
      <c r="BB33" s="243"/>
      <c r="BC33" s="243"/>
      <c r="BD33" s="243"/>
      <c r="BE33" s="243"/>
      <c r="BF33" s="243"/>
      <c r="BG33" s="256"/>
    </row>
    <row r="34" spans="1:59">
      <c r="A34" s="254">
        <v>23</v>
      </c>
      <c r="B34" s="242"/>
      <c r="C34" s="243"/>
      <c r="D34" s="243"/>
      <c r="E34" s="243"/>
      <c r="F34" s="243"/>
      <c r="G34" s="243"/>
      <c r="H34" s="243"/>
      <c r="I34" s="243"/>
      <c r="J34" s="243"/>
      <c r="K34" s="243"/>
      <c r="L34" s="243"/>
      <c r="M34" s="243"/>
      <c r="N34" s="256"/>
      <c r="P34" s="254">
        <v>23</v>
      </c>
      <c r="Q34" s="242"/>
      <c r="R34" s="243"/>
      <c r="S34" s="243"/>
      <c r="T34" s="243"/>
      <c r="U34" s="243"/>
      <c r="V34" s="243"/>
      <c r="W34" s="243"/>
      <c r="X34" s="243"/>
      <c r="Y34" s="243"/>
      <c r="Z34" s="243"/>
      <c r="AA34" s="243"/>
      <c r="AB34" s="243"/>
      <c r="AC34" s="256"/>
      <c r="AE34" s="254">
        <v>23</v>
      </c>
      <c r="AF34" s="242"/>
      <c r="AG34" s="243"/>
      <c r="AH34" s="243"/>
      <c r="AI34" s="243"/>
      <c r="AJ34" s="243"/>
      <c r="AK34" s="243"/>
      <c r="AL34" s="243"/>
      <c r="AM34" s="243"/>
      <c r="AN34" s="243"/>
      <c r="AO34" s="243"/>
      <c r="AP34" s="243"/>
      <c r="AQ34" s="243"/>
      <c r="AR34" s="256"/>
      <c r="AT34" s="254">
        <v>23</v>
      </c>
      <c r="AU34" s="242"/>
      <c r="AV34" s="243"/>
      <c r="AW34" s="243"/>
      <c r="AX34" s="243"/>
      <c r="AY34" s="243"/>
      <c r="AZ34" s="243"/>
      <c r="BA34" s="243"/>
      <c r="BB34" s="243"/>
      <c r="BC34" s="243"/>
      <c r="BD34" s="243"/>
      <c r="BE34" s="243"/>
      <c r="BF34" s="243"/>
      <c r="BG34" s="256"/>
    </row>
    <row r="35" spans="1:59">
      <c r="A35" s="254">
        <v>24</v>
      </c>
      <c r="B35" s="242"/>
      <c r="C35" s="243"/>
      <c r="D35" s="243"/>
      <c r="E35" s="243"/>
      <c r="F35" s="243"/>
      <c r="G35" s="243"/>
      <c r="H35" s="243"/>
      <c r="I35" s="243"/>
      <c r="J35" s="243"/>
      <c r="K35" s="243"/>
      <c r="L35" s="243"/>
      <c r="M35" s="243"/>
      <c r="N35" s="256"/>
      <c r="P35" s="254">
        <v>24</v>
      </c>
      <c r="Q35" s="242"/>
      <c r="R35" s="243"/>
      <c r="S35" s="243"/>
      <c r="T35" s="243"/>
      <c r="U35" s="243"/>
      <c r="V35" s="243"/>
      <c r="W35" s="243"/>
      <c r="X35" s="243"/>
      <c r="Y35" s="243"/>
      <c r="Z35" s="243"/>
      <c r="AA35" s="243"/>
      <c r="AB35" s="243"/>
      <c r="AC35" s="256"/>
      <c r="AE35" s="254">
        <v>24</v>
      </c>
      <c r="AF35" s="242"/>
      <c r="AG35" s="243"/>
      <c r="AH35" s="243"/>
      <c r="AI35" s="243"/>
      <c r="AJ35" s="243"/>
      <c r="AK35" s="243"/>
      <c r="AL35" s="243"/>
      <c r="AM35" s="243"/>
      <c r="AN35" s="243"/>
      <c r="AO35" s="243"/>
      <c r="AP35" s="243"/>
      <c r="AQ35" s="243"/>
      <c r="AR35" s="256"/>
      <c r="AT35" s="254">
        <v>24</v>
      </c>
      <c r="AU35" s="242"/>
      <c r="AV35" s="243"/>
      <c r="AW35" s="243"/>
      <c r="AX35" s="243"/>
      <c r="AY35" s="243"/>
      <c r="AZ35" s="243"/>
      <c r="BA35" s="243"/>
      <c r="BB35" s="243"/>
      <c r="BC35" s="243"/>
      <c r="BD35" s="243"/>
      <c r="BE35" s="243"/>
      <c r="BF35" s="243"/>
      <c r="BG35" s="256"/>
    </row>
    <row r="36" spans="1:59">
      <c r="A36" s="254">
        <v>25</v>
      </c>
      <c r="B36" s="242"/>
      <c r="C36" s="243"/>
      <c r="D36" s="243"/>
      <c r="E36" s="243"/>
      <c r="F36" s="243"/>
      <c r="G36" s="243"/>
      <c r="H36" s="243"/>
      <c r="I36" s="243"/>
      <c r="J36" s="243"/>
      <c r="K36" s="243"/>
      <c r="L36" s="243"/>
      <c r="M36" s="243"/>
      <c r="N36" s="256"/>
      <c r="P36" s="254">
        <v>25</v>
      </c>
      <c r="Q36" s="242"/>
      <c r="R36" s="243"/>
      <c r="S36" s="243"/>
      <c r="T36" s="243"/>
      <c r="U36" s="243"/>
      <c r="V36" s="243"/>
      <c r="W36" s="243"/>
      <c r="X36" s="243"/>
      <c r="Y36" s="243"/>
      <c r="Z36" s="243"/>
      <c r="AA36" s="243"/>
      <c r="AB36" s="243"/>
      <c r="AC36" s="256"/>
      <c r="AE36" s="254">
        <v>25</v>
      </c>
      <c r="AF36" s="242"/>
      <c r="AG36" s="243"/>
      <c r="AH36" s="243"/>
      <c r="AI36" s="243"/>
      <c r="AJ36" s="243"/>
      <c r="AK36" s="243"/>
      <c r="AL36" s="243"/>
      <c r="AM36" s="243"/>
      <c r="AN36" s="243"/>
      <c r="AO36" s="243"/>
      <c r="AP36" s="243"/>
      <c r="AQ36" s="243"/>
      <c r="AR36" s="256"/>
      <c r="AT36" s="254">
        <v>25</v>
      </c>
      <c r="AU36" s="242"/>
      <c r="AV36" s="243"/>
      <c r="AW36" s="243"/>
      <c r="AX36" s="243"/>
      <c r="AY36" s="243"/>
      <c r="AZ36" s="243"/>
      <c r="BA36" s="243"/>
      <c r="BB36" s="243"/>
      <c r="BC36" s="243"/>
      <c r="BD36" s="243"/>
      <c r="BE36" s="243"/>
      <c r="BF36" s="243"/>
      <c r="BG36" s="256"/>
    </row>
    <row r="37" spans="1:59">
      <c r="A37" s="254">
        <v>26</v>
      </c>
      <c r="B37" s="242"/>
      <c r="C37" s="243"/>
      <c r="D37" s="243"/>
      <c r="E37" s="243"/>
      <c r="F37" s="243"/>
      <c r="G37" s="243"/>
      <c r="H37" s="243"/>
      <c r="I37" s="243"/>
      <c r="J37" s="243"/>
      <c r="K37" s="243"/>
      <c r="L37" s="243"/>
      <c r="M37" s="243"/>
      <c r="N37" s="256"/>
      <c r="P37" s="254">
        <v>26</v>
      </c>
      <c r="Q37" s="242"/>
      <c r="R37" s="243"/>
      <c r="S37" s="243"/>
      <c r="T37" s="243"/>
      <c r="U37" s="243"/>
      <c r="V37" s="243"/>
      <c r="W37" s="243"/>
      <c r="X37" s="243"/>
      <c r="Y37" s="243"/>
      <c r="Z37" s="243"/>
      <c r="AA37" s="243"/>
      <c r="AB37" s="243"/>
      <c r="AC37" s="256"/>
      <c r="AE37" s="254">
        <v>26</v>
      </c>
      <c r="AF37" s="242"/>
      <c r="AG37" s="243"/>
      <c r="AH37" s="243"/>
      <c r="AI37" s="243"/>
      <c r="AJ37" s="243"/>
      <c r="AK37" s="243"/>
      <c r="AL37" s="243"/>
      <c r="AM37" s="243"/>
      <c r="AN37" s="243"/>
      <c r="AO37" s="243"/>
      <c r="AP37" s="243"/>
      <c r="AQ37" s="243"/>
      <c r="AR37" s="256"/>
      <c r="AT37" s="254">
        <v>26</v>
      </c>
      <c r="AU37" s="242"/>
      <c r="AV37" s="243"/>
      <c r="AW37" s="243"/>
      <c r="AX37" s="243"/>
      <c r="AY37" s="243"/>
      <c r="AZ37" s="243"/>
      <c r="BA37" s="243"/>
      <c r="BB37" s="243"/>
      <c r="BC37" s="243"/>
      <c r="BD37" s="243"/>
      <c r="BE37" s="243"/>
      <c r="BF37" s="243"/>
      <c r="BG37" s="256"/>
    </row>
    <row r="38" spans="1:59">
      <c r="A38" s="254">
        <v>27</v>
      </c>
      <c r="B38" s="242"/>
      <c r="C38" s="243"/>
      <c r="D38" s="243"/>
      <c r="E38" s="243"/>
      <c r="F38" s="243"/>
      <c r="G38" s="243"/>
      <c r="H38" s="243"/>
      <c r="I38" s="243"/>
      <c r="J38" s="243"/>
      <c r="K38" s="243"/>
      <c r="L38" s="243"/>
      <c r="M38" s="243"/>
      <c r="N38" s="256"/>
      <c r="P38" s="254">
        <v>27</v>
      </c>
      <c r="Q38" s="242"/>
      <c r="R38" s="243"/>
      <c r="S38" s="243"/>
      <c r="T38" s="243"/>
      <c r="U38" s="243"/>
      <c r="V38" s="243"/>
      <c r="W38" s="243"/>
      <c r="X38" s="243"/>
      <c r="Y38" s="243"/>
      <c r="Z38" s="243"/>
      <c r="AA38" s="243"/>
      <c r="AB38" s="243"/>
      <c r="AC38" s="256"/>
      <c r="AE38" s="254">
        <v>27</v>
      </c>
      <c r="AF38" s="242"/>
      <c r="AG38" s="243"/>
      <c r="AH38" s="243"/>
      <c r="AI38" s="243"/>
      <c r="AJ38" s="243"/>
      <c r="AK38" s="243"/>
      <c r="AL38" s="243"/>
      <c r="AM38" s="243"/>
      <c r="AN38" s="243"/>
      <c r="AO38" s="243"/>
      <c r="AP38" s="243"/>
      <c r="AQ38" s="243"/>
      <c r="AR38" s="256"/>
      <c r="AT38" s="254">
        <v>27</v>
      </c>
      <c r="AU38" s="242"/>
      <c r="AV38" s="243"/>
      <c r="AW38" s="243"/>
      <c r="AX38" s="243"/>
      <c r="AY38" s="243"/>
      <c r="AZ38" s="243"/>
      <c r="BA38" s="243"/>
      <c r="BB38" s="243"/>
      <c r="BC38" s="243"/>
      <c r="BD38" s="243"/>
      <c r="BE38" s="243"/>
      <c r="BF38" s="243"/>
      <c r="BG38" s="256"/>
    </row>
    <row r="39" spans="1:59">
      <c r="A39" s="254">
        <v>28</v>
      </c>
      <c r="B39" s="242"/>
      <c r="C39" s="243"/>
      <c r="D39" s="243"/>
      <c r="E39" s="243"/>
      <c r="F39" s="243"/>
      <c r="G39" s="243"/>
      <c r="H39" s="243"/>
      <c r="I39" s="243"/>
      <c r="J39" s="243"/>
      <c r="K39" s="243"/>
      <c r="L39" s="243"/>
      <c r="M39" s="243"/>
      <c r="N39" s="256"/>
      <c r="P39" s="254">
        <v>28</v>
      </c>
      <c r="Q39" s="242"/>
      <c r="R39" s="243"/>
      <c r="S39" s="243"/>
      <c r="T39" s="243"/>
      <c r="U39" s="243"/>
      <c r="V39" s="243"/>
      <c r="W39" s="243"/>
      <c r="X39" s="243"/>
      <c r="Y39" s="243"/>
      <c r="Z39" s="243"/>
      <c r="AA39" s="243"/>
      <c r="AB39" s="243"/>
      <c r="AC39" s="256"/>
      <c r="AE39" s="254">
        <v>28</v>
      </c>
      <c r="AF39" s="242"/>
      <c r="AG39" s="243"/>
      <c r="AH39" s="243"/>
      <c r="AI39" s="243"/>
      <c r="AJ39" s="243"/>
      <c r="AK39" s="243"/>
      <c r="AL39" s="243"/>
      <c r="AM39" s="243"/>
      <c r="AN39" s="243"/>
      <c r="AO39" s="243"/>
      <c r="AP39" s="243"/>
      <c r="AQ39" s="243"/>
      <c r="AR39" s="256"/>
      <c r="AT39" s="254">
        <v>28</v>
      </c>
      <c r="AU39" s="242"/>
      <c r="AV39" s="243"/>
      <c r="AW39" s="243"/>
      <c r="AX39" s="243"/>
      <c r="AY39" s="243"/>
      <c r="AZ39" s="243"/>
      <c r="BA39" s="243"/>
      <c r="BB39" s="243"/>
      <c r="BC39" s="243"/>
      <c r="BD39" s="243"/>
      <c r="BE39" s="243"/>
      <c r="BF39" s="243"/>
      <c r="BG39" s="256"/>
    </row>
    <row r="40" spans="1:59">
      <c r="A40" s="254">
        <v>29</v>
      </c>
      <c r="B40" s="242"/>
      <c r="C40" s="243"/>
      <c r="D40" s="243"/>
      <c r="E40" s="243"/>
      <c r="F40" s="243"/>
      <c r="G40" s="243"/>
      <c r="H40" s="243"/>
      <c r="I40" s="243"/>
      <c r="J40" s="243"/>
      <c r="K40" s="243"/>
      <c r="L40" s="243"/>
      <c r="M40" s="243"/>
      <c r="N40" s="256"/>
      <c r="P40" s="254">
        <v>29</v>
      </c>
      <c r="Q40" s="242"/>
      <c r="R40" s="243"/>
      <c r="S40" s="243"/>
      <c r="T40" s="243"/>
      <c r="U40" s="243"/>
      <c r="V40" s="243"/>
      <c r="W40" s="243"/>
      <c r="X40" s="243"/>
      <c r="Y40" s="243"/>
      <c r="Z40" s="243"/>
      <c r="AA40" s="243"/>
      <c r="AB40" s="243"/>
      <c r="AC40" s="256"/>
      <c r="AE40" s="254">
        <v>29</v>
      </c>
      <c r="AF40" s="242"/>
      <c r="AG40" s="243"/>
      <c r="AH40" s="243"/>
      <c r="AI40" s="243"/>
      <c r="AJ40" s="243"/>
      <c r="AK40" s="243"/>
      <c r="AL40" s="243"/>
      <c r="AM40" s="243"/>
      <c r="AN40" s="243"/>
      <c r="AO40" s="243"/>
      <c r="AP40" s="243"/>
      <c r="AQ40" s="243"/>
      <c r="AR40" s="256"/>
      <c r="AT40" s="254">
        <v>29</v>
      </c>
      <c r="AU40" s="242"/>
      <c r="AV40" s="243"/>
      <c r="AW40" s="243"/>
      <c r="AX40" s="243"/>
      <c r="AY40" s="243"/>
      <c r="AZ40" s="243"/>
      <c r="BA40" s="243"/>
      <c r="BB40" s="243"/>
      <c r="BC40" s="243"/>
      <c r="BD40" s="243"/>
      <c r="BE40" s="243"/>
      <c r="BF40" s="243"/>
      <c r="BG40" s="256"/>
    </row>
    <row r="41" spans="1:59">
      <c r="A41" s="254">
        <v>30</v>
      </c>
      <c r="B41" s="242"/>
      <c r="C41" s="243"/>
      <c r="D41" s="243"/>
      <c r="E41" s="243"/>
      <c r="F41" s="243"/>
      <c r="G41" s="243"/>
      <c r="H41" s="243"/>
      <c r="I41" s="243"/>
      <c r="J41" s="243"/>
      <c r="K41" s="243"/>
      <c r="L41" s="243"/>
      <c r="M41" s="243"/>
      <c r="N41" s="256"/>
      <c r="P41" s="254">
        <v>30</v>
      </c>
      <c r="Q41" s="242"/>
      <c r="R41" s="243"/>
      <c r="S41" s="243"/>
      <c r="T41" s="243"/>
      <c r="U41" s="243"/>
      <c r="V41" s="243"/>
      <c r="W41" s="243"/>
      <c r="X41" s="243"/>
      <c r="Y41" s="243"/>
      <c r="Z41" s="243"/>
      <c r="AA41" s="243"/>
      <c r="AB41" s="243"/>
      <c r="AC41" s="256"/>
      <c r="AE41" s="254">
        <v>30</v>
      </c>
      <c r="AF41" s="242"/>
      <c r="AG41" s="243"/>
      <c r="AH41" s="243"/>
      <c r="AI41" s="243"/>
      <c r="AJ41" s="243"/>
      <c r="AK41" s="243"/>
      <c r="AL41" s="243"/>
      <c r="AM41" s="243"/>
      <c r="AN41" s="243"/>
      <c r="AO41" s="243"/>
      <c r="AP41" s="243"/>
      <c r="AQ41" s="243"/>
      <c r="AR41" s="256"/>
      <c r="AT41" s="254">
        <v>30</v>
      </c>
      <c r="AU41" s="242"/>
      <c r="AV41" s="243"/>
      <c r="AW41" s="243"/>
      <c r="AX41" s="243"/>
      <c r="AY41" s="243"/>
      <c r="AZ41" s="243"/>
      <c r="BA41" s="243"/>
      <c r="BB41" s="243"/>
      <c r="BC41" s="243"/>
      <c r="BD41" s="243"/>
      <c r="BE41" s="243"/>
      <c r="BF41" s="243"/>
      <c r="BG41" s="256"/>
    </row>
    <row r="42" spans="1:59">
      <c r="A42" s="254">
        <v>31</v>
      </c>
      <c r="B42" s="242"/>
      <c r="C42" s="243"/>
      <c r="D42" s="243"/>
      <c r="E42" s="243"/>
      <c r="F42" s="243"/>
      <c r="G42" s="243"/>
      <c r="H42" s="243"/>
      <c r="I42" s="243"/>
      <c r="J42" s="243"/>
      <c r="K42" s="243"/>
      <c r="L42" s="243"/>
      <c r="M42" s="243"/>
      <c r="N42" s="256"/>
      <c r="P42" s="254">
        <v>31</v>
      </c>
      <c r="Q42" s="242"/>
      <c r="R42" s="243"/>
      <c r="S42" s="243"/>
      <c r="T42" s="243"/>
      <c r="U42" s="243"/>
      <c r="V42" s="243"/>
      <c r="W42" s="243"/>
      <c r="X42" s="243"/>
      <c r="Y42" s="243"/>
      <c r="Z42" s="243"/>
      <c r="AA42" s="243"/>
      <c r="AB42" s="243"/>
      <c r="AC42" s="256"/>
      <c r="AE42" s="254">
        <v>31</v>
      </c>
      <c r="AF42" s="242"/>
      <c r="AG42" s="243"/>
      <c r="AH42" s="243"/>
      <c r="AI42" s="243"/>
      <c r="AJ42" s="243"/>
      <c r="AK42" s="243"/>
      <c r="AL42" s="243"/>
      <c r="AM42" s="243"/>
      <c r="AN42" s="243"/>
      <c r="AO42" s="243"/>
      <c r="AP42" s="243"/>
      <c r="AQ42" s="243"/>
      <c r="AR42" s="256"/>
      <c r="AT42" s="254">
        <v>31</v>
      </c>
      <c r="AU42" s="242"/>
      <c r="AV42" s="243"/>
      <c r="AW42" s="243"/>
      <c r="AX42" s="243"/>
      <c r="AY42" s="243"/>
      <c r="AZ42" s="243"/>
      <c r="BA42" s="243"/>
      <c r="BB42" s="243"/>
      <c r="BC42" s="243"/>
      <c r="BD42" s="243"/>
      <c r="BE42" s="243"/>
      <c r="BF42" s="243"/>
      <c r="BG42" s="256"/>
    </row>
    <row r="43" spans="1:59">
      <c r="A43" s="254">
        <v>32</v>
      </c>
      <c r="B43" s="242"/>
      <c r="C43" s="243"/>
      <c r="D43" s="243"/>
      <c r="E43" s="243"/>
      <c r="F43" s="243"/>
      <c r="G43" s="243"/>
      <c r="H43" s="243"/>
      <c r="I43" s="243"/>
      <c r="J43" s="243"/>
      <c r="K43" s="243"/>
      <c r="L43" s="243"/>
      <c r="M43" s="243"/>
      <c r="N43" s="256"/>
      <c r="P43" s="254">
        <v>32</v>
      </c>
      <c r="Q43" s="242"/>
      <c r="R43" s="243"/>
      <c r="S43" s="243"/>
      <c r="T43" s="243"/>
      <c r="U43" s="243"/>
      <c r="V43" s="243"/>
      <c r="W43" s="243"/>
      <c r="X43" s="243"/>
      <c r="Y43" s="243"/>
      <c r="Z43" s="243"/>
      <c r="AA43" s="243"/>
      <c r="AB43" s="243"/>
      <c r="AC43" s="256"/>
      <c r="AE43" s="254">
        <v>32</v>
      </c>
      <c r="AF43" s="242"/>
      <c r="AG43" s="243"/>
      <c r="AH43" s="243"/>
      <c r="AI43" s="243"/>
      <c r="AJ43" s="243"/>
      <c r="AK43" s="243"/>
      <c r="AL43" s="243"/>
      <c r="AM43" s="243"/>
      <c r="AN43" s="243"/>
      <c r="AO43" s="243"/>
      <c r="AP43" s="243"/>
      <c r="AQ43" s="243"/>
      <c r="AR43" s="256"/>
      <c r="AT43" s="254">
        <v>32</v>
      </c>
      <c r="AU43" s="242"/>
      <c r="AV43" s="243"/>
      <c r="AW43" s="243"/>
      <c r="AX43" s="243"/>
      <c r="AY43" s="243"/>
      <c r="AZ43" s="243"/>
      <c r="BA43" s="243"/>
      <c r="BB43" s="243"/>
      <c r="BC43" s="243"/>
      <c r="BD43" s="243"/>
      <c r="BE43" s="243"/>
      <c r="BF43" s="243"/>
      <c r="BG43" s="256"/>
    </row>
    <row r="44" spans="1:59">
      <c r="A44" s="254">
        <v>33</v>
      </c>
      <c r="B44" s="242"/>
      <c r="C44" s="243"/>
      <c r="D44" s="243"/>
      <c r="E44" s="243"/>
      <c r="F44" s="243"/>
      <c r="G44" s="243"/>
      <c r="H44" s="243"/>
      <c r="I44" s="243"/>
      <c r="J44" s="243"/>
      <c r="K44" s="243"/>
      <c r="L44" s="243"/>
      <c r="M44" s="243"/>
      <c r="N44" s="256"/>
      <c r="P44" s="254">
        <v>33</v>
      </c>
      <c r="Q44" s="242"/>
      <c r="R44" s="243"/>
      <c r="S44" s="243"/>
      <c r="T44" s="243"/>
      <c r="U44" s="243"/>
      <c r="V44" s="243"/>
      <c r="W44" s="243"/>
      <c r="X44" s="243"/>
      <c r="Y44" s="243"/>
      <c r="Z44" s="243"/>
      <c r="AA44" s="243"/>
      <c r="AB44" s="243"/>
      <c r="AC44" s="256"/>
      <c r="AE44" s="254">
        <v>33</v>
      </c>
      <c r="AF44" s="242"/>
      <c r="AG44" s="243"/>
      <c r="AH44" s="243"/>
      <c r="AI44" s="243"/>
      <c r="AJ44" s="243"/>
      <c r="AK44" s="243"/>
      <c r="AL44" s="243"/>
      <c r="AM44" s="243"/>
      <c r="AN44" s="243"/>
      <c r="AO44" s="243"/>
      <c r="AP44" s="243"/>
      <c r="AQ44" s="243"/>
      <c r="AR44" s="256"/>
      <c r="AT44" s="254">
        <v>33</v>
      </c>
      <c r="AU44" s="242"/>
      <c r="AV44" s="243"/>
      <c r="AW44" s="243"/>
      <c r="AX44" s="243"/>
      <c r="AY44" s="243"/>
      <c r="AZ44" s="243"/>
      <c r="BA44" s="243"/>
      <c r="BB44" s="243"/>
      <c r="BC44" s="243"/>
      <c r="BD44" s="243"/>
      <c r="BE44" s="243"/>
      <c r="BF44" s="243"/>
      <c r="BG44" s="256"/>
    </row>
    <row r="45" spans="1:59">
      <c r="A45" s="254">
        <v>34</v>
      </c>
      <c r="B45" s="242"/>
      <c r="C45" s="243"/>
      <c r="D45" s="243"/>
      <c r="E45" s="243"/>
      <c r="F45" s="243"/>
      <c r="G45" s="243"/>
      <c r="H45" s="243"/>
      <c r="I45" s="243"/>
      <c r="J45" s="243"/>
      <c r="K45" s="243"/>
      <c r="L45" s="243"/>
      <c r="M45" s="243"/>
      <c r="N45" s="256"/>
      <c r="P45" s="254">
        <v>34</v>
      </c>
      <c r="Q45" s="242"/>
      <c r="R45" s="243"/>
      <c r="S45" s="243"/>
      <c r="T45" s="243"/>
      <c r="U45" s="243"/>
      <c r="V45" s="243"/>
      <c r="W45" s="243"/>
      <c r="X45" s="243"/>
      <c r="Y45" s="243"/>
      <c r="Z45" s="243"/>
      <c r="AA45" s="243"/>
      <c r="AB45" s="243"/>
      <c r="AC45" s="256"/>
      <c r="AE45" s="254">
        <v>34</v>
      </c>
      <c r="AF45" s="242"/>
      <c r="AG45" s="243"/>
      <c r="AH45" s="243"/>
      <c r="AI45" s="243"/>
      <c r="AJ45" s="243"/>
      <c r="AK45" s="243"/>
      <c r="AL45" s="243"/>
      <c r="AM45" s="243"/>
      <c r="AN45" s="243"/>
      <c r="AO45" s="243"/>
      <c r="AP45" s="243"/>
      <c r="AQ45" s="243"/>
      <c r="AR45" s="256"/>
      <c r="AT45" s="254">
        <v>34</v>
      </c>
      <c r="AU45" s="242"/>
      <c r="AV45" s="243"/>
      <c r="AW45" s="243"/>
      <c r="AX45" s="243"/>
      <c r="AY45" s="243"/>
      <c r="AZ45" s="243"/>
      <c r="BA45" s="243"/>
      <c r="BB45" s="243"/>
      <c r="BC45" s="243"/>
      <c r="BD45" s="243"/>
      <c r="BE45" s="243"/>
      <c r="BF45" s="243"/>
      <c r="BG45" s="256"/>
    </row>
    <row r="46" spans="1:59">
      <c r="A46" s="254">
        <v>35</v>
      </c>
      <c r="B46" s="242"/>
      <c r="C46" s="243"/>
      <c r="D46" s="243"/>
      <c r="E46" s="243"/>
      <c r="F46" s="243"/>
      <c r="G46" s="243"/>
      <c r="H46" s="243"/>
      <c r="I46" s="243"/>
      <c r="J46" s="243"/>
      <c r="K46" s="243"/>
      <c r="L46" s="243"/>
      <c r="M46" s="243"/>
      <c r="N46" s="256"/>
      <c r="P46" s="254">
        <v>35</v>
      </c>
      <c r="Q46" s="242"/>
      <c r="R46" s="243"/>
      <c r="S46" s="243"/>
      <c r="T46" s="243"/>
      <c r="U46" s="243"/>
      <c r="V46" s="243"/>
      <c r="W46" s="243"/>
      <c r="X46" s="243"/>
      <c r="Y46" s="243"/>
      <c r="Z46" s="243"/>
      <c r="AA46" s="243"/>
      <c r="AB46" s="243"/>
      <c r="AC46" s="256"/>
      <c r="AE46" s="254">
        <v>35</v>
      </c>
      <c r="AF46" s="242"/>
      <c r="AG46" s="243"/>
      <c r="AH46" s="243"/>
      <c r="AI46" s="243"/>
      <c r="AJ46" s="243"/>
      <c r="AK46" s="243"/>
      <c r="AL46" s="243"/>
      <c r="AM46" s="243"/>
      <c r="AN46" s="243"/>
      <c r="AO46" s="243"/>
      <c r="AP46" s="243"/>
      <c r="AQ46" s="243"/>
      <c r="AR46" s="256"/>
      <c r="AT46" s="254">
        <v>35</v>
      </c>
      <c r="AU46" s="242"/>
      <c r="AV46" s="243"/>
      <c r="AW46" s="243"/>
      <c r="AX46" s="243"/>
      <c r="AY46" s="243"/>
      <c r="AZ46" s="243"/>
      <c r="BA46" s="243"/>
      <c r="BB46" s="243"/>
      <c r="BC46" s="243"/>
      <c r="BD46" s="243"/>
      <c r="BE46" s="243"/>
      <c r="BF46" s="243"/>
      <c r="BG46" s="256"/>
    </row>
    <row r="47" spans="1:59">
      <c r="A47" s="254">
        <v>36</v>
      </c>
      <c r="B47" s="242"/>
      <c r="C47" s="243"/>
      <c r="D47" s="243"/>
      <c r="E47" s="243"/>
      <c r="F47" s="243"/>
      <c r="G47" s="243"/>
      <c r="H47" s="243"/>
      <c r="I47" s="243"/>
      <c r="J47" s="243"/>
      <c r="K47" s="243"/>
      <c r="L47" s="243"/>
      <c r="M47" s="243"/>
      <c r="N47" s="256"/>
      <c r="P47" s="254">
        <v>36</v>
      </c>
      <c r="Q47" s="242"/>
      <c r="R47" s="243"/>
      <c r="S47" s="243"/>
      <c r="T47" s="243"/>
      <c r="U47" s="243"/>
      <c r="V47" s="243"/>
      <c r="W47" s="243"/>
      <c r="X47" s="243"/>
      <c r="Y47" s="243"/>
      <c r="Z47" s="243"/>
      <c r="AA47" s="243"/>
      <c r="AB47" s="243"/>
      <c r="AC47" s="256"/>
      <c r="AE47" s="254">
        <v>36</v>
      </c>
      <c r="AF47" s="242"/>
      <c r="AG47" s="243"/>
      <c r="AH47" s="243"/>
      <c r="AI47" s="243"/>
      <c r="AJ47" s="243"/>
      <c r="AK47" s="243"/>
      <c r="AL47" s="243"/>
      <c r="AM47" s="243"/>
      <c r="AN47" s="243"/>
      <c r="AO47" s="243"/>
      <c r="AP47" s="243"/>
      <c r="AQ47" s="243"/>
      <c r="AR47" s="256"/>
      <c r="AT47" s="254">
        <v>36</v>
      </c>
      <c r="AU47" s="242"/>
      <c r="AV47" s="243"/>
      <c r="AW47" s="243"/>
      <c r="AX47" s="243"/>
      <c r="AY47" s="243"/>
      <c r="AZ47" s="243"/>
      <c r="BA47" s="243"/>
      <c r="BB47" s="243"/>
      <c r="BC47" s="243"/>
      <c r="BD47" s="243"/>
      <c r="BE47" s="243"/>
      <c r="BF47" s="243"/>
      <c r="BG47" s="256"/>
    </row>
    <row r="48" spans="1:59">
      <c r="A48" s="254">
        <v>37</v>
      </c>
      <c r="B48" s="242"/>
      <c r="C48" s="243"/>
      <c r="D48" s="243"/>
      <c r="E48" s="243"/>
      <c r="F48" s="243"/>
      <c r="G48" s="243"/>
      <c r="H48" s="243"/>
      <c r="I48" s="243"/>
      <c r="J48" s="243"/>
      <c r="K48" s="243"/>
      <c r="L48" s="243"/>
      <c r="M48" s="243"/>
      <c r="N48" s="256"/>
      <c r="P48" s="254">
        <v>37</v>
      </c>
      <c r="Q48" s="242"/>
      <c r="R48" s="243"/>
      <c r="S48" s="243"/>
      <c r="T48" s="243"/>
      <c r="U48" s="243"/>
      <c r="V48" s="243"/>
      <c r="W48" s="243"/>
      <c r="X48" s="243"/>
      <c r="Y48" s="243"/>
      <c r="Z48" s="243"/>
      <c r="AA48" s="243"/>
      <c r="AB48" s="243"/>
      <c r="AC48" s="256"/>
      <c r="AE48" s="254">
        <v>37</v>
      </c>
      <c r="AF48" s="242"/>
      <c r="AG48" s="243"/>
      <c r="AH48" s="243"/>
      <c r="AI48" s="243"/>
      <c r="AJ48" s="243"/>
      <c r="AK48" s="243"/>
      <c r="AL48" s="243"/>
      <c r="AM48" s="243"/>
      <c r="AN48" s="243"/>
      <c r="AO48" s="243"/>
      <c r="AP48" s="243"/>
      <c r="AQ48" s="243"/>
      <c r="AR48" s="256"/>
      <c r="AT48" s="254">
        <v>37</v>
      </c>
      <c r="AU48" s="242"/>
      <c r="AV48" s="243"/>
      <c r="AW48" s="243"/>
      <c r="AX48" s="243"/>
      <c r="AY48" s="243"/>
      <c r="AZ48" s="243"/>
      <c r="BA48" s="243"/>
      <c r="BB48" s="243"/>
      <c r="BC48" s="243"/>
      <c r="BD48" s="243"/>
      <c r="BE48" s="243"/>
      <c r="BF48" s="243"/>
      <c r="BG48" s="256"/>
    </row>
    <row r="49" spans="1:59">
      <c r="A49" s="254">
        <v>38</v>
      </c>
      <c r="B49" s="242"/>
      <c r="C49" s="243"/>
      <c r="D49" s="243"/>
      <c r="E49" s="243"/>
      <c r="F49" s="243"/>
      <c r="G49" s="243"/>
      <c r="H49" s="243"/>
      <c r="I49" s="243"/>
      <c r="J49" s="243"/>
      <c r="K49" s="243"/>
      <c r="L49" s="243"/>
      <c r="M49" s="243"/>
      <c r="N49" s="256"/>
      <c r="P49" s="254">
        <v>38</v>
      </c>
      <c r="Q49" s="242"/>
      <c r="R49" s="243"/>
      <c r="S49" s="243"/>
      <c r="T49" s="243"/>
      <c r="U49" s="243"/>
      <c r="V49" s="243"/>
      <c r="W49" s="243"/>
      <c r="X49" s="243"/>
      <c r="Y49" s="243"/>
      <c r="Z49" s="243"/>
      <c r="AA49" s="243"/>
      <c r="AB49" s="243"/>
      <c r="AC49" s="256"/>
      <c r="AE49" s="254">
        <v>38</v>
      </c>
      <c r="AF49" s="242"/>
      <c r="AG49" s="243"/>
      <c r="AH49" s="243"/>
      <c r="AI49" s="243"/>
      <c r="AJ49" s="243"/>
      <c r="AK49" s="243"/>
      <c r="AL49" s="243"/>
      <c r="AM49" s="243"/>
      <c r="AN49" s="243"/>
      <c r="AO49" s="243"/>
      <c r="AP49" s="243"/>
      <c r="AQ49" s="243"/>
      <c r="AR49" s="256"/>
      <c r="AT49" s="254">
        <v>38</v>
      </c>
      <c r="AU49" s="242"/>
      <c r="AV49" s="243"/>
      <c r="AW49" s="243"/>
      <c r="AX49" s="243"/>
      <c r="AY49" s="243"/>
      <c r="AZ49" s="243"/>
      <c r="BA49" s="243"/>
      <c r="BB49" s="243"/>
      <c r="BC49" s="243"/>
      <c r="BD49" s="243"/>
      <c r="BE49" s="243"/>
      <c r="BF49" s="243"/>
      <c r="BG49" s="256"/>
    </row>
    <row r="50" spans="1:59">
      <c r="A50" s="254">
        <v>39</v>
      </c>
      <c r="B50" s="242"/>
      <c r="C50" s="243"/>
      <c r="D50" s="243"/>
      <c r="E50" s="243"/>
      <c r="F50" s="243"/>
      <c r="G50" s="243"/>
      <c r="H50" s="243"/>
      <c r="I50" s="243"/>
      <c r="J50" s="243"/>
      <c r="K50" s="243"/>
      <c r="L50" s="243"/>
      <c r="M50" s="243"/>
      <c r="N50" s="256"/>
      <c r="P50" s="254">
        <v>39</v>
      </c>
      <c r="Q50" s="242"/>
      <c r="R50" s="243"/>
      <c r="S50" s="243"/>
      <c r="T50" s="243"/>
      <c r="U50" s="243"/>
      <c r="V50" s="243"/>
      <c r="W50" s="243"/>
      <c r="X50" s="243"/>
      <c r="Y50" s="243"/>
      <c r="Z50" s="243"/>
      <c r="AA50" s="243"/>
      <c r="AB50" s="243"/>
      <c r="AC50" s="256"/>
      <c r="AE50" s="254">
        <v>39</v>
      </c>
      <c r="AF50" s="242"/>
      <c r="AG50" s="243"/>
      <c r="AH50" s="243"/>
      <c r="AI50" s="243"/>
      <c r="AJ50" s="243"/>
      <c r="AK50" s="243"/>
      <c r="AL50" s="243"/>
      <c r="AM50" s="243"/>
      <c r="AN50" s="243"/>
      <c r="AO50" s="243"/>
      <c r="AP50" s="243"/>
      <c r="AQ50" s="243"/>
      <c r="AR50" s="256"/>
      <c r="AT50" s="254">
        <v>39</v>
      </c>
      <c r="AU50" s="242"/>
      <c r="AV50" s="243"/>
      <c r="AW50" s="243"/>
      <c r="AX50" s="243"/>
      <c r="AY50" s="243"/>
      <c r="AZ50" s="243"/>
      <c r="BA50" s="243"/>
      <c r="BB50" s="243"/>
      <c r="BC50" s="243"/>
      <c r="BD50" s="243"/>
      <c r="BE50" s="243"/>
      <c r="BF50" s="243"/>
      <c r="BG50" s="256"/>
    </row>
    <row r="51" spans="1:59">
      <c r="A51" s="254">
        <v>40</v>
      </c>
      <c r="B51" s="242"/>
      <c r="C51" s="243"/>
      <c r="D51" s="243"/>
      <c r="E51" s="243"/>
      <c r="F51" s="243"/>
      <c r="G51" s="243"/>
      <c r="H51" s="243"/>
      <c r="I51" s="243"/>
      <c r="J51" s="243"/>
      <c r="K51" s="243"/>
      <c r="L51" s="243"/>
      <c r="M51" s="243"/>
      <c r="N51" s="256"/>
      <c r="P51" s="254">
        <v>40</v>
      </c>
      <c r="Q51" s="242"/>
      <c r="R51" s="243"/>
      <c r="S51" s="243"/>
      <c r="T51" s="243"/>
      <c r="U51" s="243"/>
      <c r="V51" s="243"/>
      <c r="W51" s="243"/>
      <c r="X51" s="243"/>
      <c r="Y51" s="243"/>
      <c r="Z51" s="243"/>
      <c r="AA51" s="243"/>
      <c r="AB51" s="243"/>
      <c r="AC51" s="256"/>
      <c r="AE51" s="254">
        <v>40</v>
      </c>
      <c r="AF51" s="242"/>
      <c r="AG51" s="243"/>
      <c r="AH51" s="243"/>
      <c r="AI51" s="243"/>
      <c r="AJ51" s="243"/>
      <c r="AK51" s="243"/>
      <c r="AL51" s="243"/>
      <c r="AM51" s="243"/>
      <c r="AN51" s="243"/>
      <c r="AO51" s="243"/>
      <c r="AP51" s="243"/>
      <c r="AQ51" s="243"/>
      <c r="AR51" s="256"/>
      <c r="AT51" s="254">
        <v>40</v>
      </c>
      <c r="AU51" s="242"/>
      <c r="AV51" s="243"/>
      <c r="AW51" s="243"/>
      <c r="AX51" s="243"/>
      <c r="AY51" s="243"/>
      <c r="AZ51" s="243"/>
      <c r="BA51" s="243"/>
      <c r="BB51" s="243"/>
      <c r="BC51" s="243"/>
      <c r="BD51" s="243"/>
      <c r="BE51" s="243"/>
      <c r="BF51" s="243"/>
      <c r="BG51" s="256"/>
    </row>
    <row r="52" spans="1:59">
      <c r="A52" s="254">
        <v>41</v>
      </c>
      <c r="B52" s="242"/>
      <c r="C52" s="243"/>
      <c r="D52" s="243"/>
      <c r="E52" s="243"/>
      <c r="F52" s="243"/>
      <c r="G52" s="243"/>
      <c r="H52" s="243"/>
      <c r="I52" s="243"/>
      <c r="J52" s="243"/>
      <c r="K52" s="243"/>
      <c r="L52" s="243"/>
      <c r="M52" s="243"/>
      <c r="N52" s="256"/>
      <c r="P52" s="254">
        <v>41</v>
      </c>
      <c r="Q52" s="242"/>
      <c r="R52" s="243"/>
      <c r="S52" s="243"/>
      <c r="T52" s="243"/>
      <c r="U52" s="243"/>
      <c r="V52" s="243"/>
      <c r="W52" s="243"/>
      <c r="X52" s="243"/>
      <c r="Y52" s="243"/>
      <c r="Z52" s="243"/>
      <c r="AA52" s="243"/>
      <c r="AB52" s="243"/>
      <c r="AC52" s="256"/>
      <c r="AE52" s="254">
        <v>41</v>
      </c>
      <c r="AF52" s="242"/>
      <c r="AG52" s="243"/>
      <c r="AH52" s="243"/>
      <c r="AI52" s="243"/>
      <c r="AJ52" s="243"/>
      <c r="AK52" s="243"/>
      <c r="AL52" s="243"/>
      <c r="AM52" s="243"/>
      <c r="AN52" s="243"/>
      <c r="AO52" s="243"/>
      <c r="AP52" s="243"/>
      <c r="AQ52" s="243"/>
      <c r="AR52" s="256"/>
      <c r="AT52" s="254">
        <v>41</v>
      </c>
      <c r="AU52" s="242"/>
      <c r="AV52" s="243"/>
      <c r="AW52" s="243"/>
      <c r="AX52" s="243"/>
      <c r="AY52" s="243"/>
      <c r="AZ52" s="243"/>
      <c r="BA52" s="243"/>
      <c r="BB52" s="243"/>
      <c r="BC52" s="243"/>
      <c r="BD52" s="243"/>
      <c r="BE52" s="243"/>
      <c r="BF52" s="243"/>
      <c r="BG52" s="256"/>
    </row>
    <row r="53" spans="1:59">
      <c r="A53" s="254">
        <v>42</v>
      </c>
      <c r="B53" s="242"/>
      <c r="C53" s="243"/>
      <c r="D53" s="243"/>
      <c r="E53" s="243"/>
      <c r="F53" s="243"/>
      <c r="G53" s="243"/>
      <c r="H53" s="243"/>
      <c r="I53" s="243"/>
      <c r="J53" s="243"/>
      <c r="K53" s="243"/>
      <c r="L53" s="243"/>
      <c r="M53" s="243"/>
      <c r="N53" s="256"/>
      <c r="P53" s="254">
        <v>42</v>
      </c>
      <c r="Q53" s="242"/>
      <c r="R53" s="243"/>
      <c r="S53" s="243"/>
      <c r="T53" s="243"/>
      <c r="U53" s="243"/>
      <c r="V53" s="243"/>
      <c r="W53" s="243"/>
      <c r="X53" s="243"/>
      <c r="Y53" s="243"/>
      <c r="Z53" s="243"/>
      <c r="AA53" s="243"/>
      <c r="AB53" s="243"/>
      <c r="AC53" s="256"/>
      <c r="AE53" s="254">
        <v>42</v>
      </c>
      <c r="AF53" s="242"/>
      <c r="AG53" s="243"/>
      <c r="AH53" s="243"/>
      <c r="AI53" s="243"/>
      <c r="AJ53" s="243"/>
      <c r="AK53" s="243"/>
      <c r="AL53" s="243"/>
      <c r="AM53" s="243"/>
      <c r="AN53" s="243"/>
      <c r="AO53" s="243"/>
      <c r="AP53" s="243"/>
      <c r="AQ53" s="243"/>
      <c r="AR53" s="256"/>
      <c r="AT53" s="254">
        <v>42</v>
      </c>
      <c r="AU53" s="242"/>
      <c r="AV53" s="243"/>
      <c r="AW53" s="243"/>
      <c r="AX53" s="243"/>
      <c r="AY53" s="243"/>
      <c r="AZ53" s="243"/>
      <c r="BA53" s="243"/>
      <c r="BB53" s="243"/>
      <c r="BC53" s="243"/>
      <c r="BD53" s="243"/>
      <c r="BE53" s="243"/>
      <c r="BF53" s="243"/>
      <c r="BG53" s="256"/>
    </row>
    <row r="54" spans="1:59">
      <c r="A54" s="254">
        <v>43</v>
      </c>
      <c r="B54" s="242"/>
      <c r="C54" s="243"/>
      <c r="D54" s="243"/>
      <c r="E54" s="243"/>
      <c r="F54" s="243"/>
      <c r="G54" s="243"/>
      <c r="H54" s="243"/>
      <c r="I54" s="243"/>
      <c r="J54" s="243"/>
      <c r="K54" s="243"/>
      <c r="L54" s="243"/>
      <c r="M54" s="243"/>
      <c r="N54" s="256"/>
      <c r="P54" s="254">
        <v>43</v>
      </c>
      <c r="Q54" s="242"/>
      <c r="R54" s="243"/>
      <c r="S54" s="243"/>
      <c r="T54" s="243"/>
      <c r="U54" s="243"/>
      <c r="V54" s="243"/>
      <c r="W54" s="243"/>
      <c r="X54" s="243"/>
      <c r="Y54" s="243"/>
      <c r="Z54" s="243"/>
      <c r="AA54" s="243"/>
      <c r="AB54" s="243"/>
      <c r="AC54" s="256"/>
      <c r="AE54" s="254">
        <v>43</v>
      </c>
      <c r="AF54" s="242"/>
      <c r="AG54" s="243"/>
      <c r="AH54" s="243"/>
      <c r="AI54" s="243"/>
      <c r="AJ54" s="243"/>
      <c r="AK54" s="243"/>
      <c r="AL54" s="243"/>
      <c r="AM54" s="243"/>
      <c r="AN54" s="243"/>
      <c r="AO54" s="243"/>
      <c r="AP54" s="243"/>
      <c r="AQ54" s="243"/>
      <c r="AR54" s="256"/>
      <c r="AT54" s="254">
        <v>43</v>
      </c>
      <c r="AU54" s="242"/>
      <c r="AV54" s="243"/>
      <c r="AW54" s="243"/>
      <c r="AX54" s="243"/>
      <c r="AY54" s="243"/>
      <c r="AZ54" s="243"/>
      <c r="BA54" s="243"/>
      <c r="BB54" s="243"/>
      <c r="BC54" s="243"/>
      <c r="BD54" s="243"/>
      <c r="BE54" s="243"/>
      <c r="BF54" s="243"/>
      <c r="BG54" s="256"/>
    </row>
    <row r="55" spans="1:59">
      <c r="A55" s="254">
        <v>44</v>
      </c>
      <c r="B55" s="242"/>
      <c r="C55" s="243"/>
      <c r="D55" s="243"/>
      <c r="E55" s="243"/>
      <c r="F55" s="243"/>
      <c r="G55" s="243"/>
      <c r="H55" s="243"/>
      <c r="I55" s="243"/>
      <c r="J55" s="243"/>
      <c r="K55" s="243"/>
      <c r="L55" s="243"/>
      <c r="M55" s="243"/>
      <c r="N55" s="256"/>
      <c r="P55" s="254">
        <v>44</v>
      </c>
      <c r="Q55" s="242"/>
      <c r="R55" s="243"/>
      <c r="S55" s="243"/>
      <c r="T55" s="243"/>
      <c r="U55" s="243"/>
      <c r="V55" s="243"/>
      <c r="W55" s="243"/>
      <c r="X55" s="243"/>
      <c r="Y55" s="243"/>
      <c r="Z55" s="243"/>
      <c r="AA55" s="243"/>
      <c r="AB55" s="243"/>
      <c r="AC55" s="256"/>
      <c r="AE55" s="254">
        <v>44</v>
      </c>
      <c r="AF55" s="242"/>
      <c r="AG55" s="243"/>
      <c r="AH55" s="243"/>
      <c r="AI55" s="243"/>
      <c r="AJ55" s="243"/>
      <c r="AK55" s="243"/>
      <c r="AL55" s="243"/>
      <c r="AM55" s="243"/>
      <c r="AN55" s="243"/>
      <c r="AO55" s="243"/>
      <c r="AP55" s="243"/>
      <c r="AQ55" s="243"/>
      <c r="AR55" s="256"/>
      <c r="AT55" s="254">
        <v>44</v>
      </c>
      <c r="AU55" s="242"/>
      <c r="AV55" s="243"/>
      <c r="AW55" s="243"/>
      <c r="AX55" s="243"/>
      <c r="AY55" s="243"/>
      <c r="AZ55" s="243"/>
      <c r="BA55" s="243"/>
      <c r="BB55" s="243"/>
      <c r="BC55" s="243"/>
      <c r="BD55" s="243"/>
      <c r="BE55" s="243"/>
      <c r="BF55" s="243"/>
      <c r="BG55" s="256"/>
    </row>
    <row r="56" spans="1:59">
      <c r="A56" s="254">
        <v>45</v>
      </c>
      <c r="B56" s="242"/>
      <c r="C56" s="243"/>
      <c r="D56" s="243"/>
      <c r="E56" s="243"/>
      <c r="F56" s="243"/>
      <c r="G56" s="243"/>
      <c r="H56" s="243"/>
      <c r="I56" s="243"/>
      <c r="J56" s="243"/>
      <c r="K56" s="243"/>
      <c r="L56" s="243"/>
      <c r="M56" s="243"/>
      <c r="N56" s="256"/>
      <c r="P56" s="254">
        <v>45</v>
      </c>
      <c r="Q56" s="242"/>
      <c r="R56" s="243"/>
      <c r="S56" s="243"/>
      <c r="T56" s="243"/>
      <c r="U56" s="243"/>
      <c r="V56" s="243"/>
      <c r="W56" s="243"/>
      <c r="X56" s="243"/>
      <c r="Y56" s="243"/>
      <c r="Z56" s="243"/>
      <c r="AA56" s="243"/>
      <c r="AB56" s="243"/>
      <c r="AC56" s="256"/>
      <c r="AE56" s="254">
        <v>45</v>
      </c>
      <c r="AF56" s="242"/>
      <c r="AG56" s="243"/>
      <c r="AH56" s="243"/>
      <c r="AI56" s="243"/>
      <c r="AJ56" s="243"/>
      <c r="AK56" s="243"/>
      <c r="AL56" s="243"/>
      <c r="AM56" s="243"/>
      <c r="AN56" s="243"/>
      <c r="AO56" s="243"/>
      <c r="AP56" s="243"/>
      <c r="AQ56" s="243"/>
      <c r="AR56" s="256"/>
      <c r="AT56" s="254">
        <v>45</v>
      </c>
      <c r="AU56" s="242"/>
      <c r="AV56" s="243"/>
      <c r="AW56" s="243"/>
      <c r="AX56" s="243"/>
      <c r="AY56" s="243"/>
      <c r="AZ56" s="243"/>
      <c r="BA56" s="243"/>
      <c r="BB56" s="243"/>
      <c r="BC56" s="243"/>
      <c r="BD56" s="243"/>
      <c r="BE56" s="243"/>
      <c r="BF56" s="243"/>
      <c r="BG56" s="256"/>
    </row>
    <row r="57" spans="1:59">
      <c r="A57" s="254">
        <v>46</v>
      </c>
      <c r="B57" s="242"/>
      <c r="C57" s="243"/>
      <c r="D57" s="243"/>
      <c r="E57" s="243"/>
      <c r="F57" s="243"/>
      <c r="G57" s="243"/>
      <c r="H57" s="243"/>
      <c r="I57" s="243"/>
      <c r="J57" s="243"/>
      <c r="K57" s="243"/>
      <c r="L57" s="243"/>
      <c r="M57" s="243"/>
      <c r="N57" s="256"/>
      <c r="P57" s="254">
        <v>46</v>
      </c>
      <c r="Q57" s="242"/>
      <c r="R57" s="243"/>
      <c r="S57" s="243"/>
      <c r="T57" s="243"/>
      <c r="U57" s="243"/>
      <c r="V57" s="243"/>
      <c r="W57" s="243"/>
      <c r="X57" s="243"/>
      <c r="Y57" s="243"/>
      <c r="Z57" s="243"/>
      <c r="AA57" s="243"/>
      <c r="AB57" s="243"/>
      <c r="AC57" s="256"/>
      <c r="AE57" s="254">
        <v>46</v>
      </c>
      <c r="AF57" s="242"/>
      <c r="AG57" s="243"/>
      <c r="AH57" s="243"/>
      <c r="AI57" s="243"/>
      <c r="AJ57" s="243"/>
      <c r="AK57" s="243"/>
      <c r="AL57" s="243"/>
      <c r="AM57" s="243"/>
      <c r="AN57" s="243"/>
      <c r="AO57" s="243"/>
      <c r="AP57" s="243"/>
      <c r="AQ57" s="243"/>
      <c r="AR57" s="256"/>
      <c r="AT57" s="254">
        <v>46</v>
      </c>
      <c r="AU57" s="242"/>
      <c r="AV57" s="243"/>
      <c r="AW57" s="243"/>
      <c r="AX57" s="243"/>
      <c r="AY57" s="243"/>
      <c r="AZ57" s="243"/>
      <c r="BA57" s="243"/>
      <c r="BB57" s="243"/>
      <c r="BC57" s="243"/>
      <c r="BD57" s="243"/>
      <c r="BE57" s="243"/>
      <c r="BF57" s="243"/>
      <c r="BG57" s="256"/>
    </row>
    <row r="58" spans="1:59">
      <c r="A58" s="254">
        <v>47</v>
      </c>
      <c r="B58" s="242"/>
      <c r="C58" s="243"/>
      <c r="D58" s="243"/>
      <c r="E58" s="243"/>
      <c r="F58" s="243"/>
      <c r="G58" s="243"/>
      <c r="H58" s="243"/>
      <c r="I58" s="243"/>
      <c r="J58" s="243"/>
      <c r="K58" s="243"/>
      <c r="L58" s="243"/>
      <c r="M58" s="243"/>
      <c r="N58" s="256"/>
      <c r="P58" s="254">
        <v>47</v>
      </c>
      <c r="Q58" s="242"/>
      <c r="R58" s="243"/>
      <c r="S58" s="243"/>
      <c r="T58" s="243"/>
      <c r="U58" s="243"/>
      <c r="V58" s="243"/>
      <c r="W58" s="243"/>
      <c r="X58" s="243"/>
      <c r="Y58" s="243"/>
      <c r="Z58" s="243"/>
      <c r="AA58" s="243"/>
      <c r="AB58" s="243"/>
      <c r="AC58" s="256"/>
      <c r="AE58" s="254">
        <v>47</v>
      </c>
      <c r="AF58" s="242"/>
      <c r="AG58" s="243"/>
      <c r="AH58" s="243"/>
      <c r="AI58" s="243"/>
      <c r="AJ58" s="243"/>
      <c r="AK58" s="243"/>
      <c r="AL58" s="243"/>
      <c r="AM58" s="243"/>
      <c r="AN58" s="243"/>
      <c r="AO58" s="243"/>
      <c r="AP58" s="243"/>
      <c r="AQ58" s="243"/>
      <c r="AR58" s="256"/>
      <c r="AT58" s="254">
        <v>47</v>
      </c>
      <c r="AU58" s="242"/>
      <c r="AV58" s="243"/>
      <c r="AW58" s="243"/>
      <c r="AX58" s="243"/>
      <c r="AY58" s="243"/>
      <c r="AZ58" s="243"/>
      <c r="BA58" s="243"/>
      <c r="BB58" s="243"/>
      <c r="BC58" s="243"/>
      <c r="BD58" s="243"/>
      <c r="BE58" s="243"/>
      <c r="BF58" s="243"/>
      <c r="BG58" s="256"/>
    </row>
    <row r="59" spans="1:59">
      <c r="A59" s="254">
        <v>48</v>
      </c>
      <c r="B59" s="242"/>
      <c r="C59" s="243"/>
      <c r="D59" s="243"/>
      <c r="E59" s="243"/>
      <c r="F59" s="243"/>
      <c r="G59" s="243"/>
      <c r="H59" s="243"/>
      <c r="I59" s="243"/>
      <c r="J59" s="243"/>
      <c r="K59" s="243"/>
      <c r="L59" s="243"/>
      <c r="M59" s="243"/>
      <c r="N59" s="256"/>
      <c r="P59" s="254">
        <v>48</v>
      </c>
      <c r="Q59" s="242"/>
      <c r="R59" s="243"/>
      <c r="S59" s="243"/>
      <c r="T59" s="243"/>
      <c r="U59" s="243"/>
      <c r="V59" s="243"/>
      <c r="W59" s="243"/>
      <c r="X59" s="243"/>
      <c r="Y59" s="243"/>
      <c r="Z59" s="243"/>
      <c r="AA59" s="243"/>
      <c r="AB59" s="243"/>
      <c r="AC59" s="256"/>
      <c r="AE59" s="254">
        <v>48</v>
      </c>
      <c r="AF59" s="242"/>
      <c r="AG59" s="243"/>
      <c r="AH59" s="243"/>
      <c r="AI59" s="243"/>
      <c r="AJ59" s="243"/>
      <c r="AK59" s="243"/>
      <c r="AL59" s="243"/>
      <c r="AM59" s="243"/>
      <c r="AN59" s="243"/>
      <c r="AO59" s="243"/>
      <c r="AP59" s="243"/>
      <c r="AQ59" s="243"/>
      <c r="AR59" s="256"/>
      <c r="AT59" s="254">
        <v>48</v>
      </c>
      <c r="AU59" s="242"/>
      <c r="AV59" s="243"/>
      <c r="AW59" s="243"/>
      <c r="AX59" s="243"/>
      <c r="AY59" s="243"/>
      <c r="AZ59" s="243"/>
      <c r="BA59" s="243"/>
      <c r="BB59" s="243"/>
      <c r="BC59" s="243"/>
      <c r="BD59" s="243"/>
      <c r="BE59" s="243"/>
      <c r="BF59" s="243"/>
      <c r="BG59" s="256"/>
    </row>
    <row r="60" spans="1:59">
      <c r="A60" s="254">
        <v>49</v>
      </c>
      <c r="B60" s="242"/>
      <c r="C60" s="243"/>
      <c r="D60" s="243"/>
      <c r="E60" s="243"/>
      <c r="F60" s="243"/>
      <c r="G60" s="243"/>
      <c r="H60" s="243"/>
      <c r="I60" s="243"/>
      <c r="J60" s="243"/>
      <c r="K60" s="243"/>
      <c r="L60" s="243"/>
      <c r="M60" s="243"/>
      <c r="N60" s="256"/>
      <c r="P60" s="254">
        <v>49</v>
      </c>
      <c r="Q60" s="242"/>
      <c r="R60" s="243"/>
      <c r="S60" s="243"/>
      <c r="T60" s="243"/>
      <c r="U60" s="243"/>
      <c r="V60" s="243"/>
      <c r="W60" s="243"/>
      <c r="X60" s="243"/>
      <c r="Y60" s="243"/>
      <c r="Z60" s="243"/>
      <c r="AA60" s="243"/>
      <c r="AB60" s="243"/>
      <c r="AC60" s="256"/>
      <c r="AE60" s="254">
        <v>49</v>
      </c>
      <c r="AF60" s="242"/>
      <c r="AG60" s="243"/>
      <c r="AH60" s="243"/>
      <c r="AI60" s="243"/>
      <c r="AJ60" s="243"/>
      <c r="AK60" s="243"/>
      <c r="AL60" s="243"/>
      <c r="AM60" s="243"/>
      <c r="AN60" s="243"/>
      <c r="AO60" s="243"/>
      <c r="AP60" s="243"/>
      <c r="AQ60" s="243"/>
      <c r="AR60" s="256"/>
      <c r="AT60" s="254">
        <v>49</v>
      </c>
      <c r="AU60" s="242"/>
      <c r="AV60" s="243"/>
      <c r="AW60" s="243"/>
      <c r="AX60" s="243"/>
      <c r="AY60" s="243"/>
      <c r="AZ60" s="243"/>
      <c r="BA60" s="243"/>
      <c r="BB60" s="243"/>
      <c r="BC60" s="243"/>
      <c r="BD60" s="243"/>
      <c r="BE60" s="243"/>
      <c r="BF60" s="243"/>
      <c r="BG60" s="256"/>
    </row>
    <row r="61" spans="1:59">
      <c r="A61" s="254">
        <v>50</v>
      </c>
      <c r="B61" s="242"/>
      <c r="C61" s="243"/>
      <c r="D61" s="243"/>
      <c r="E61" s="243"/>
      <c r="F61" s="243"/>
      <c r="G61" s="243"/>
      <c r="H61" s="243"/>
      <c r="I61" s="243"/>
      <c r="J61" s="243"/>
      <c r="K61" s="243"/>
      <c r="L61" s="243"/>
      <c r="M61" s="243"/>
      <c r="N61" s="256"/>
      <c r="P61" s="254">
        <v>50</v>
      </c>
      <c r="Q61" s="242"/>
      <c r="R61" s="243"/>
      <c r="S61" s="243"/>
      <c r="T61" s="243"/>
      <c r="U61" s="243"/>
      <c r="V61" s="243"/>
      <c r="W61" s="243"/>
      <c r="X61" s="243"/>
      <c r="Y61" s="243"/>
      <c r="Z61" s="243"/>
      <c r="AA61" s="243"/>
      <c r="AB61" s="243"/>
      <c r="AC61" s="256"/>
      <c r="AE61" s="254">
        <v>50</v>
      </c>
      <c r="AF61" s="242"/>
      <c r="AG61" s="243"/>
      <c r="AH61" s="243"/>
      <c r="AI61" s="243"/>
      <c r="AJ61" s="243"/>
      <c r="AK61" s="243"/>
      <c r="AL61" s="243"/>
      <c r="AM61" s="243"/>
      <c r="AN61" s="243"/>
      <c r="AO61" s="243"/>
      <c r="AP61" s="243"/>
      <c r="AQ61" s="243"/>
      <c r="AR61" s="256"/>
      <c r="AT61" s="254">
        <v>50</v>
      </c>
      <c r="AU61" s="242"/>
      <c r="AV61" s="243"/>
      <c r="AW61" s="243"/>
      <c r="AX61" s="243"/>
      <c r="AY61" s="243"/>
      <c r="AZ61" s="243"/>
      <c r="BA61" s="243"/>
      <c r="BB61" s="243"/>
      <c r="BC61" s="243"/>
      <c r="BD61" s="243"/>
      <c r="BE61" s="243"/>
      <c r="BF61" s="243"/>
      <c r="BG61" s="256"/>
    </row>
    <row r="62" spans="1:59">
      <c r="A62" s="254">
        <v>51</v>
      </c>
      <c r="B62" s="242"/>
      <c r="C62" s="243"/>
      <c r="D62" s="243"/>
      <c r="E62" s="243"/>
      <c r="F62" s="243"/>
      <c r="G62" s="243"/>
      <c r="H62" s="243"/>
      <c r="I62" s="243"/>
      <c r="J62" s="243"/>
      <c r="K62" s="243"/>
      <c r="L62" s="243"/>
      <c r="M62" s="243"/>
      <c r="N62" s="256"/>
      <c r="P62" s="254">
        <v>51</v>
      </c>
      <c r="Q62" s="242"/>
      <c r="R62" s="243"/>
      <c r="S62" s="243"/>
      <c r="T62" s="243"/>
      <c r="U62" s="243"/>
      <c r="V62" s="243"/>
      <c r="W62" s="243"/>
      <c r="X62" s="243"/>
      <c r="Y62" s="243"/>
      <c r="Z62" s="243"/>
      <c r="AA62" s="243"/>
      <c r="AB62" s="243"/>
      <c r="AC62" s="256"/>
      <c r="AE62" s="254">
        <v>51</v>
      </c>
      <c r="AF62" s="242"/>
      <c r="AG62" s="243"/>
      <c r="AH62" s="243"/>
      <c r="AI62" s="243"/>
      <c r="AJ62" s="243"/>
      <c r="AK62" s="243"/>
      <c r="AL62" s="243"/>
      <c r="AM62" s="243"/>
      <c r="AN62" s="243"/>
      <c r="AO62" s="243"/>
      <c r="AP62" s="243"/>
      <c r="AQ62" s="243"/>
      <c r="AR62" s="256"/>
      <c r="AT62" s="254">
        <v>51</v>
      </c>
      <c r="AU62" s="242"/>
      <c r="AV62" s="243"/>
      <c r="AW62" s="243"/>
      <c r="AX62" s="243"/>
      <c r="AY62" s="243"/>
      <c r="AZ62" s="243"/>
      <c r="BA62" s="243"/>
      <c r="BB62" s="243"/>
      <c r="BC62" s="243"/>
      <c r="BD62" s="243"/>
      <c r="BE62" s="243"/>
      <c r="BF62" s="243"/>
      <c r="BG62" s="256"/>
    </row>
    <row r="63" spans="1:59">
      <c r="A63" s="254">
        <v>52</v>
      </c>
      <c r="B63" s="242"/>
      <c r="C63" s="243"/>
      <c r="D63" s="243"/>
      <c r="E63" s="243"/>
      <c r="F63" s="243"/>
      <c r="G63" s="243"/>
      <c r="H63" s="243"/>
      <c r="I63" s="243"/>
      <c r="J63" s="243"/>
      <c r="K63" s="243"/>
      <c r="L63" s="243"/>
      <c r="M63" s="243"/>
      <c r="N63" s="256"/>
      <c r="P63" s="254">
        <v>52</v>
      </c>
      <c r="Q63" s="242"/>
      <c r="R63" s="243"/>
      <c r="S63" s="243"/>
      <c r="T63" s="243"/>
      <c r="U63" s="243"/>
      <c r="V63" s="243"/>
      <c r="W63" s="243"/>
      <c r="X63" s="243"/>
      <c r="Y63" s="243"/>
      <c r="Z63" s="243"/>
      <c r="AA63" s="243"/>
      <c r="AB63" s="243"/>
      <c r="AC63" s="256"/>
      <c r="AE63" s="254">
        <v>52</v>
      </c>
      <c r="AF63" s="242"/>
      <c r="AG63" s="243"/>
      <c r="AH63" s="243"/>
      <c r="AI63" s="243"/>
      <c r="AJ63" s="243"/>
      <c r="AK63" s="243"/>
      <c r="AL63" s="243"/>
      <c r="AM63" s="243"/>
      <c r="AN63" s="243"/>
      <c r="AO63" s="243"/>
      <c r="AP63" s="243"/>
      <c r="AQ63" s="243"/>
      <c r="AR63" s="256"/>
      <c r="AT63" s="254">
        <v>52</v>
      </c>
      <c r="AU63" s="242"/>
      <c r="AV63" s="243"/>
      <c r="AW63" s="243"/>
      <c r="AX63" s="243"/>
      <c r="AY63" s="243"/>
      <c r="AZ63" s="243"/>
      <c r="BA63" s="243"/>
      <c r="BB63" s="243"/>
      <c r="BC63" s="243"/>
      <c r="BD63" s="243"/>
      <c r="BE63" s="243"/>
      <c r="BF63" s="243"/>
      <c r="BG63" s="256"/>
    </row>
    <row r="64" spans="1:59">
      <c r="A64" s="254">
        <v>53</v>
      </c>
      <c r="B64" s="242"/>
      <c r="C64" s="243"/>
      <c r="D64" s="243"/>
      <c r="E64" s="243"/>
      <c r="F64" s="243"/>
      <c r="G64" s="243"/>
      <c r="H64" s="243"/>
      <c r="I64" s="243"/>
      <c r="J64" s="243"/>
      <c r="K64" s="243"/>
      <c r="L64" s="243"/>
      <c r="M64" s="243"/>
      <c r="N64" s="256"/>
      <c r="P64" s="254">
        <v>53</v>
      </c>
      <c r="Q64" s="242"/>
      <c r="R64" s="243"/>
      <c r="S64" s="243"/>
      <c r="T64" s="243"/>
      <c r="U64" s="243"/>
      <c r="V64" s="243"/>
      <c r="W64" s="243"/>
      <c r="X64" s="243"/>
      <c r="Y64" s="243"/>
      <c r="Z64" s="243"/>
      <c r="AA64" s="243"/>
      <c r="AB64" s="243"/>
      <c r="AC64" s="256"/>
      <c r="AE64" s="254">
        <v>53</v>
      </c>
      <c r="AF64" s="242"/>
      <c r="AG64" s="243"/>
      <c r="AH64" s="243"/>
      <c r="AI64" s="243"/>
      <c r="AJ64" s="243"/>
      <c r="AK64" s="243"/>
      <c r="AL64" s="243"/>
      <c r="AM64" s="243"/>
      <c r="AN64" s="243"/>
      <c r="AO64" s="243"/>
      <c r="AP64" s="243"/>
      <c r="AQ64" s="243"/>
      <c r="AR64" s="256"/>
      <c r="AT64" s="254">
        <v>53</v>
      </c>
      <c r="AU64" s="242"/>
      <c r="AV64" s="243"/>
      <c r="AW64" s="243"/>
      <c r="AX64" s="243"/>
      <c r="AY64" s="243"/>
      <c r="AZ64" s="243"/>
      <c r="BA64" s="243"/>
      <c r="BB64" s="243"/>
      <c r="BC64" s="243"/>
      <c r="BD64" s="243"/>
      <c r="BE64" s="243"/>
      <c r="BF64" s="243"/>
      <c r="BG64" s="256"/>
    </row>
    <row r="65" spans="1:59">
      <c r="A65" s="254">
        <v>54</v>
      </c>
      <c r="B65" s="242"/>
      <c r="C65" s="243"/>
      <c r="D65" s="243"/>
      <c r="E65" s="243"/>
      <c r="F65" s="243"/>
      <c r="G65" s="243"/>
      <c r="H65" s="243"/>
      <c r="I65" s="243"/>
      <c r="J65" s="243"/>
      <c r="K65" s="243"/>
      <c r="L65" s="243"/>
      <c r="M65" s="243"/>
      <c r="N65" s="256"/>
      <c r="P65" s="254">
        <v>54</v>
      </c>
      <c r="Q65" s="242"/>
      <c r="R65" s="243"/>
      <c r="S65" s="243"/>
      <c r="T65" s="243"/>
      <c r="U65" s="243"/>
      <c r="V65" s="243"/>
      <c r="W65" s="243"/>
      <c r="X65" s="243"/>
      <c r="Y65" s="243"/>
      <c r="Z65" s="243"/>
      <c r="AA65" s="243"/>
      <c r="AB65" s="243"/>
      <c r="AC65" s="256"/>
      <c r="AE65" s="254">
        <v>54</v>
      </c>
      <c r="AF65" s="242"/>
      <c r="AG65" s="243"/>
      <c r="AH65" s="243"/>
      <c r="AI65" s="243"/>
      <c r="AJ65" s="243"/>
      <c r="AK65" s="243"/>
      <c r="AL65" s="243"/>
      <c r="AM65" s="243"/>
      <c r="AN65" s="243"/>
      <c r="AO65" s="243"/>
      <c r="AP65" s="243"/>
      <c r="AQ65" s="243"/>
      <c r="AR65" s="256"/>
      <c r="AT65" s="254">
        <v>54</v>
      </c>
      <c r="AU65" s="242"/>
      <c r="AV65" s="243"/>
      <c r="AW65" s="243"/>
      <c r="AX65" s="243"/>
      <c r="AY65" s="243"/>
      <c r="AZ65" s="243"/>
      <c r="BA65" s="243"/>
      <c r="BB65" s="243"/>
      <c r="BC65" s="243"/>
      <c r="BD65" s="243"/>
      <c r="BE65" s="243"/>
      <c r="BF65" s="243"/>
      <c r="BG65" s="256"/>
    </row>
    <row r="66" spans="1:59">
      <c r="A66" s="254">
        <v>55</v>
      </c>
      <c r="B66" s="242"/>
      <c r="C66" s="243"/>
      <c r="D66" s="243"/>
      <c r="E66" s="243"/>
      <c r="F66" s="243"/>
      <c r="G66" s="243"/>
      <c r="H66" s="243"/>
      <c r="I66" s="243"/>
      <c r="J66" s="243"/>
      <c r="K66" s="243"/>
      <c r="L66" s="243"/>
      <c r="M66" s="243"/>
      <c r="N66" s="256"/>
      <c r="P66" s="254">
        <v>55</v>
      </c>
      <c r="Q66" s="242"/>
      <c r="R66" s="243"/>
      <c r="S66" s="243"/>
      <c r="T66" s="243"/>
      <c r="U66" s="243"/>
      <c r="V66" s="243"/>
      <c r="W66" s="243"/>
      <c r="X66" s="243"/>
      <c r="Y66" s="243"/>
      <c r="Z66" s="243"/>
      <c r="AA66" s="243"/>
      <c r="AB66" s="243"/>
      <c r="AC66" s="256"/>
      <c r="AE66" s="254">
        <v>55</v>
      </c>
      <c r="AF66" s="242"/>
      <c r="AG66" s="243"/>
      <c r="AH66" s="243"/>
      <c r="AI66" s="243"/>
      <c r="AJ66" s="243"/>
      <c r="AK66" s="243"/>
      <c r="AL66" s="243"/>
      <c r="AM66" s="243"/>
      <c r="AN66" s="243"/>
      <c r="AO66" s="243"/>
      <c r="AP66" s="243"/>
      <c r="AQ66" s="243"/>
      <c r="AR66" s="256"/>
      <c r="AT66" s="254">
        <v>55</v>
      </c>
      <c r="AU66" s="242"/>
      <c r="AV66" s="243"/>
      <c r="AW66" s="243"/>
      <c r="AX66" s="243"/>
      <c r="AY66" s="243"/>
      <c r="AZ66" s="243"/>
      <c r="BA66" s="243"/>
      <c r="BB66" s="243"/>
      <c r="BC66" s="243"/>
      <c r="BD66" s="243"/>
      <c r="BE66" s="243"/>
      <c r="BF66" s="243"/>
      <c r="BG66" s="256"/>
    </row>
    <row r="67" spans="1:59">
      <c r="A67" s="254">
        <v>56</v>
      </c>
      <c r="B67" s="242"/>
      <c r="C67" s="243"/>
      <c r="D67" s="243"/>
      <c r="E67" s="243"/>
      <c r="F67" s="243"/>
      <c r="G67" s="243"/>
      <c r="H67" s="243"/>
      <c r="I67" s="243"/>
      <c r="J67" s="243"/>
      <c r="K67" s="243"/>
      <c r="L67" s="243"/>
      <c r="M67" s="243"/>
      <c r="N67" s="256"/>
      <c r="P67" s="254">
        <v>56</v>
      </c>
      <c r="Q67" s="242"/>
      <c r="R67" s="243"/>
      <c r="S67" s="243"/>
      <c r="T67" s="243"/>
      <c r="U67" s="243"/>
      <c r="V67" s="243"/>
      <c r="W67" s="243"/>
      <c r="X67" s="243"/>
      <c r="Y67" s="243"/>
      <c r="Z67" s="243"/>
      <c r="AA67" s="243"/>
      <c r="AB67" s="243"/>
      <c r="AC67" s="256"/>
      <c r="AE67" s="254">
        <v>56</v>
      </c>
      <c r="AF67" s="242"/>
      <c r="AG67" s="243"/>
      <c r="AH67" s="243"/>
      <c r="AI67" s="243"/>
      <c r="AJ67" s="243"/>
      <c r="AK67" s="243"/>
      <c r="AL67" s="243"/>
      <c r="AM67" s="243"/>
      <c r="AN67" s="243"/>
      <c r="AO67" s="243"/>
      <c r="AP67" s="243"/>
      <c r="AQ67" s="243"/>
      <c r="AR67" s="256"/>
      <c r="AT67" s="254">
        <v>56</v>
      </c>
      <c r="AU67" s="242"/>
      <c r="AV67" s="243"/>
      <c r="AW67" s="243"/>
      <c r="AX67" s="243"/>
      <c r="AY67" s="243"/>
      <c r="AZ67" s="243"/>
      <c r="BA67" s="243"/>
      <c r="BB67" s="243"/>
      <c r="BC67" s="243"/>
      <c r="BD67" s="243"/>
      <c r="BE67" s="243"/>
      <c r="BF67" s="243"/>
      <c r="BG67" s="256"/>
    </row>
    <row r="68" spans="1:59">
      <c r="A68" s="254">
        <v>57</v>
      </c>
      <c r="B68" s="242"/>
      <c r="C68" s="243"/>
      <c r="D68" s="243"/>
      <c r="E68" s="243"/>
      <c r="F68" s="243"/>
      <c r="G68" s="243"/>
      <c r="H68" s="243"/>
      <c r="I68" s="243"/>
      <c r="J68" s="243"/>
      <c r="K68" s="243"/>
      <c r="L68" s="243"/>
      <c r="M68" s="243"/>
      <c r="N68" s="256"/>
      <c r="P68" s="254">
        <v>57</v>
      </c>
      <c r="Q68" s="242"/>
      <c r="R68" s="243"/>
      <c r="S68" s="243"/>
      <c r="T68" s="243"/>
      <c r="U68" s="243"/>
      <c r="V68" s="243"/>
      <c r="W68" s="243"/>
      <c r="X68" s="243"/>
      <c r="Y68" s="243"/>
      <c r="Z68" s="243"/>
      <c r="AA68" s="243"/>
      <c r="AB68" s="243"/>
      <c r="AC68" s="256"/>
      <c r="AE68" s="254">
        <v>57</v>
      </c>
      <c r="AF68" s="242"/>
      <c r="AG68" s="243"/>
      <c r="AH68" s="243"/>
      <c r="AI68" s="243"/>
      <c r="AJ68" s="243"/>
      <c r="AK68" s="243"/>
      <c r="AL68" s="243"/>
      <c r="AM68" s="243"/>
      <c r="AN68" s="243"/>
      <c r="AO68" s="243"/>
      <c r="AP68" s="243"/>
      <c r="AQ68" s="243"/>
      <c r="AR68" s="256"/>
      <c r="AT68" s="254">
        <v>57</v>
      </c>
      <c r="AU68" s="242"/>
      <c r="AV68" s="243"/>
      <c r="AW68" s="243"/>
      <c r="AX68" s="243"/>
      <c r="AY68" s="243"/>
      <c r="AZ68" s="243"/>
      <c r="BA68" s="243"/>
      <c r="BB68" s="243"/>
      <c r="BC68" s="243"/>
      <c r="BD68" s="243"/>
      <c r="BE68" s="243"/>
      <c r="BF68" s="243"/>
      <c r="BG68" s="256"/>
    </row>
    <row r="69" spans="1:59">
      <c r="A69" s="254">
        <v>58</v>
      </c>
      <c r="B69" s="242"/>
      <c r="C69" s="243"/>
      <c r="D69" s="243"/>
      <c r="E69" s="243"/>
      <c r="F69" s="243"/>
      <c r="G69" s="243"/>
      <c r="H69" s="243"/>
      <c r="I69" s="243"/>
      <c r="J69" s="243"/>
      <c r="K69" s="243"/>
      <c r="L69" s="243"/>
      <c r="M69" s="243"/>
      <c r="N69" s="256"/>
      <c r="P69" s="254">
        <v>58</v>
      </c>
      <c r="Q69" s="242"/>
      <c r="R69" s="243"/>
      <c r="S69" s="243"/>
      <c r="T69" s="243"/>
      <c r="U69" s="243"/>
      <c r="V69" s="243"/>
      <c r="W69" s="243"/>
      <c r="X69" s="243"/>
      <c r="Y69" s="243"/>
      <c r="Z69" s="243"/>
      <c r="AA69" s="243"/>
      <c r="AB69" s="243"/>
      <c r="AC69" s="256"/>
      <c r="AE69" s="254">
        <v>58</v>
      </c>
      <c r="AF69" s="242"/>
      <c r="AG69" s="243"/>
      <c r="AH69" s="243"/>
      <c r="AI69" s="243"/>
      <c r="AJ69" s="243"/>
      <c r="AK69" s="243"/>
      <c r="AL69" s="243"/>
      <c r="AM69" s="243"/>
      <c r="AN69" s="243"/>
      <c r="AO69" s="243"/>
      <c r="AP69" s="243"/>
      <c r="AQ69" s="243"/>
      <c r="AR69" s="256"/>
      <c r="AT69" s="254">
        <v>58</v>
      </c>
      <c r="AU69" s="242"/>
      <c r="AV69" s="243"/>
      <c r="AW69" s="243"/>
      <c r="AX69" s="243"/>
      <c r="AY69" s="243"/>
      <c r="AZ69" s="243"/>
      <c r="BA69" s="243"/>
      <c r="BB69" s="243"/>
      <c r="BC69" s="243"/>
      <c r="BD69" s="243"/>
      <c r="BE69" s="243"/>
      <c r="BF69" s="243"/>
      <c r="BG69" s="256"/>
    </row>
    <row r="70" spans="1:59">
      <c r="A70" s="254">
        <v>59</v>
      </c>
      <c r="B70" s="242"/>
      <c r="C70" s="243"/>
      <c r="D70" s="243"/>
      <c r="E70" s="243"/>
      <c r="F70" s="243"/>
      <c r="G70" s="243"/>
      <c r="H70" s="243"/>
      <c r="I70" s="243"/>
      <c r="J70" s="243"/>
      <c r="K70" s="243"/>
      <c r="L70" s="243"/>
      <c r="M70" s="243"/>
      <c r="N70" s="256"/>
      <c r="P70" s="254">
        <v>59</v>
      </c>
      <c r="Q70" s="242"/>
      <c r="R70" s="243"/>
      <c r="S70" s="243"/>
      <c r="T70" s="243"/>
      <c r="U70" s="243"/>
      <c r="V70" s="243"/>
      <c r="W70" s="243"/>
      <c r="X70" s="243"/>
      <c r="Y70" s="243"/>
      <c r="Z70" s="243"/>
      <c r="AA70" s="243"/>
      <c r="AB70" s="243"/>
      <c r="AC70" s="256"/>
      <c r="AE70" s="254">
        <v>59</v>
      </c>
      <c r="AF70" s="242"/>
      <c r="AG70" s="243"/>
      <c r="AH70" s="243"/>
      <c r="AI70" s="243"/>
      <c r="AJ70" s="243"/>
      <c r="AK70" s="243"/>
      <c r="AL70" s="243"/>
      <c r="AM70" s="243"/>
      <c r="AN70" s="243"/>
      <c r="AO70" s="243"/>
      <c r="AP70" s="243"/>
      <c r="AQ70" s="243"/>
      <c r="AR70" s="256"/>
      <c r="AT70" s="254">
        <v>59</v>
      </c>
      <c r="AU70" s="242"/>
      <c r="AV70" s="243"/>
      <c r="AW70" s="243"/>
      <c r="AX70" s="243"/>
      <c r="AY70" s="243"/>
      <c r="AZ70" s="243"/>
      <c r="BA70" s="243"/>
      <c r="BB70" s="243"/>
      <c r="BC70" s="243"/>
      <c r="BD70" s="243"/>
      <c r="BE70" s="243"/>
      <c r="BF70" s="243"/>
      <c r="BG70" s="256"/>
    </row>
    <row r="71" spans="1:59">
      <c r="A71" s="254">
        <v>60</v>
      </c>
      <c r="B71" s="242"/>
      <c r="C71" s="243"/>
      <c r="D71" s="243"/>
      <c r="E71" s="243"/>
      <c r="F71" s="243"/>
      <c r="G71" s="243"/>
      <c r="H71" s="243"/>
      <c r="I71" s="243"/>
      <c r="J71" s="243"/>
      <c r="K71" s="243"/>
      <c r="L71" s="243"/>
      <c r="M71" s="243"/>
      <c r="N71" s="256"/>
      <c r="P71" s="254">
        <v>60</v>
      </c>
      <c r="Q71" s="242"/>
      <c r="R71" s="243"/>
      <c r="S71" s="243"/>
      <c r="T71" s="243"/>
      <c r="U71" s="243"/>
      <c r="V71" s="243"/>
      <c r="W71" s="243"/>
      <c r="X71" s="243"/>
      <c r="Y71" s="243"/>
      <c r="Z71" s="243"/>
      <c r="AA71" s="243"/>
      <c r="AB71" s="243"/>
      <c r="AC71" s="256"/>
      <c r="AE71" s="254">
        <v>60</v>
      </c>
      <c r="AF71" s="242"/>
      <c r="AG71" s="243"/>
      <c r="AH71" s="243"/>
      <c r="AI71" s="243"/>
      <c r="AJ71" s="243"/>
      <c r="AK71" s="243"/>
      <c r="AL71" s="243"/>
      <c r="AM71" s="243"/>
      <c r="AN71" s="243"/>
      <c r="AO71" s="243"/>
      <c r="AP71" s="243"/>
      <c r="AQ71" s="243"/>
      <c r="AR71" s="256"/>
      <c r="AT71" s="254">
        <v>60</v>
      </c>
      <c r="AU71" s="242"/>
      <c r="AV71" s="243"/>
      <c r="AW71" s="243"/>
      <c r="AX71" s="243"/>
      <c r="AY71" s="243"/>
      <c r="AZ71" s="243"/>
      <c r="BA71" s="243"/>
      <c r="BB71" s="243"/>
      <c r="BC71" s="243"/>
      <c r="BD71" s="243"/>
      <c r="BE71" s="243"/>
      <c r="BF71" s="243"/>
      <c r="BG71" s="256"/>
    </row>
    <row r="72" spans="1:59">
      <c r="A72" s="254">
        <v>61</v>
      </c>
      <c r="B72" s="242"/>
      <c r="C72" s="243"/>
      <c r="D72" s="243"/>
      <c r="E72" s="243"/>
      <c r="F72" s="243"/>
      <c r="G72" s="243"/>
      <c r="H72" s="243"/>
      <c r="I72" s="243"/>
      <c r="J72" s="243"/>
      <c r="K72" s="243"/>
      <c r="L72" s="243"/>
      <c r="M72" s="243"/>
      <c r="N72" s="256"/>
      <c r="P72" s="254">
        <v>61</v>
      </c>
      <c r="Q72" s="242"/>
      <c r="R72" s="243"/>
      <c r="S72" s="243"/>
      <c r="T72" s="243"/>
      <c r="U72" s="243"/>
      <c r="V72" s="243"/>
      <c r="W72" s="243"/>
      <c r="X72" s="243"/>
      <c r="Y72" s="243"/>
      <c r="Z72" s="243"/>
      <c r="AA72" s="243"/>
      <c r="AB72" s="243"/>
      <c r="AC72" s="256"/>
      <c r="AE72" s="254">
        <v>61</v>
      </c>
      <c r="AF72" s="242"/>
      <c r="AG72" s="243"/>
      <c r="AH72" s="243"/>
      <c r="AI72" s="243"/>
      <c r="AJ72" s="243"/>
      <c r="AK72" s="243"/>
      <c r="AL72" s="243"/>
      <c r="AM72" s="243"/>
      <c r="AN72" s="243"/>
      <c r="AO72" s="243"/>
      <c r="AP72" s="243"/>
      <c r="AQ72" s="243"/>
      <c r="AR72" s="256"/>
      <c r="AT72" s="254">
        <v>61</v>
      </c>
      <c r="AU72" s="242"/>
      <c r="AV72" s="243"/>
      <c r="AW72" s="243"/>
      <c r="AX72" s="243"/>
      <c r="AY72" s="243"/>
      <c r="AZ72" s="243"/>
      <c r="BA72" s="243"/>
      <c r="BB72" s="243"/>
      <c r="BC72" s="243"/>
      <c r="BD72" s="243"/>
      <c r="BE72" s="243"/>
      <c r="BF72" s="243"/>
      <c r="BG72" s="256"/>
    </row>
    <row r="73" spans="1:59">
      <c r="A73" s="254">
        <v>62</v>
      </c>
      <c r="B73" s="242"/>
      <c r="C73" s="243"/>
      <c r="D73" s="243"/>
      <c r="E73" s="243"/>
      <c r="F73" s="243"/>
      <c r="G73" s="243"/>
      <c r="H73" s="243"/>
      <c r="I73" s="243"/>
      <c r="J73" s="243"/>
      <c r="K73" s="243"/>
      <c r="L73" s="243"/>
      <c r="M73" s="243"/>
      <c r="N73" s="256"/>
      <c r="P73" s="254">
        <v>62</v>
      </c>
      <c r="Q73" s="242"/>
      <c r="R73" s="243"/>
      <c r="S73" s="243"/>
      <c r="T73" s="243"/>
      <c r="U73" s="243"/>
      <c r="V73" s="243"/>
      <c r="W73" s="243"/>
      <c r="X73" s="243"/>
      <c r="Y73" s="243"/>
      <c r="Z73" s="243"/>
      <c r="AA73" s="243"/>
      <c r="AB73" s="243"/>
      <c r="AC73" s="256"/>
      <c r="AE73" s="254">
        <v>62</v>
      </c>
      <c r="AF73" s="242"/>
      <c r="AG73" s="243"/>
      <c r="AH73" s="243"/>
      <c r="AI73" s="243"/>
      <c r="AJ73" s="243"/>
      <c r="AK73" s="243"/>
      <c r="AL73" s="243"/>
      <c r="AM73" s="243"/>
      <c r="AN73" s="243"/>
      <c r="AO73" s="243"/>
      <c r="AP73" s="243"/>
      <c r="AQ73" s="243"/>
      <c r="AR73" s="256"/>
      <c r="AT73" s="254">
        <v>62</v>
      </c>
      <c r="AU73" s="242"/>
      <c r="AV73" s="243"/>
      <c r="AW73" s="243"/>
      <c r="AX73" s="243"/>
      <c r="AY73" s="243"/>
      <c r="AZ73" s="243"/>
      <c r="BA73" s="243"/>
      <c r="BB73" s="243"/>
      <c r="BC73" s="243"/>
      <c r="BD73" s="243"/>
      <c r="BE73" s="243"/>
      <c r="BF73" s="243"/>
      <c r="BG73" s="256"/>
    </row>
    <row r="74" spans="1:59">
      <c r="A74" s="254">
        <v>63</v>
      </c>
      <c r="B74" s="242"/>
      <c r="C74" s="243"/>
      <c r="D74" s="243"/>
      <c r="E74" s="243"/>
      <c r="F74" s="243"/>
      <c r="G74" s="243"/>
      <c r="H74" s="243"/>
      <c r="I74" s="243"/>
      <c r="J74" s="243"/>
      <c r="K74" s="243"/>
      <c r="L74" s="243"/>
      <c r="M74" s="243"/>
      <c r="N74" s="256"/>
      <c r="P74" s="254">
        <v>63</v>
      </c>
      <c r="Q74" s="242"/>
      <c r="R74" s="243"/>
      <c r="S74" s="243"/>
      <c r="T74" s="243"/>
      <c r="U74" s="243"/>
      <c r="V74" s="243"/>
      <c r="W74" s="243"/>
      <c r="X74" s="243"/>
      <c r="Y74" s="243"/>
      <c r="Z74" s="243"/>
      <c r="AA74" s="243"/>
      <c r="AB74" s="243"/>
      <c r="AC74" s="256"/>
      <c r="AE74" s="254">
        <v>63</v>
      </c>
      <c r="AF74" s="242"/>
      <c r="AG74" s="243"/>
      <c r="AH74" s="243"/>
      <c r="AI74" s="243"/>
      <c r="AJ74" s="243"/>
      <c r="AK74" s="243"/>
      <c r="AL74" s="243"/>
      <c r="AM74" s="243"/>
      <c r="AN74" s="243"/>
      <c r="AO74" s="243"/>
      <c r="AP74" s="243"/>
      <c r="AQ74" s="243"/>
      <c r="AR74" s="256"/>
      <c r="AT74" s="254">
        <v>63</v>
      </c>
      <c r="AU74" s="242"/>
      <c r="AV74" s="243"/>
      <c r="AW74" s="243"/>
      <c r="AX74" s="243"/>
      <c r="AY74" s="243"/>
      <c r="AZ74" s="243"/>
      <c r="BA74" s="243"/>
      <c r="BB74" s="243"/>
      <c r="BC74" s="243"/>
      <c r="BD74" s="243"/>
      <c r="BE74" s="243"/>
      <c r="BF74" s="243"/>
      <c r="BG74" s="256"/>
    </row>
    <row r="75" spans="1:59">
      <c r="A75" s="254">
        <v>64</v>
      </c>
      <c r="B75" s="242"/>
      <c r="C75" s="243"/>
      <c r="D75" s="243"/>
      <c r="E75" s="243"/>
      <c r="F75" s="243"/>
      <c r="G75" s="243"/>
      <c r="H75" s="243"/>
      <c r="I75" s="243"/>
      <c r="J75" s="243"/>
      <c r="K75" s="243"/>
      <c r="L75" s="243"/>
      <c r="M75" s="243"/>
      <c r="N75" s="256"/>
      <c r="P75" s="254">
        <v>64</v>
      </c>
      <c r="Q75" s="242"/>
      <c r="R75" s="243"/>
      <c r="S75" s="243"/>
      <c r="T75" s="243"/>
      <c r="U75" s="243"/>
      <c r="V75" s="243"/>
      <c r="W75" s="243"/>
      <c r="X75" s="243"/>
      <c r="Y75" s="243"/>
      <c r="Z75" s="243"/>
      <c r="AA75" s="243"/>
      <c r="AB75" s="243"/>
      <c r="AC75" s="256"/>
      <c r="AE75" s="254">
        <v>64</v>
      </c>
      <c r="AF75" s="242"/>
      <c r="AG75" s="243"/>
      <c r="AH75" s="243"/>
      <c r="AI75" s="243"/>
      <c r="AJ75" s="243"/>
      <c r="AK75" s="243"/>
      <c r="AL75" s="243"/>
      <c r="AM75" s="243"/>
      <c r="AN75" s="243"/>
      <c r="AO75" s="243"/>
      <c r="AP75" s="243"/>
      <c r="AQ75" s="243"/>
      <c r="AR75" s="256"/>
      <c r="AT75" s="254">
        <v>64</v>
      </c>
      <c r="AU75" s="242"/>
      <c r="AV75" s="243"/>
      <c r="AW75" s="243"/>
      <c r="AX75" s="243"/>
      <c r="AY75" s="243"/>
      <c r="AZ75" s="243"/>
      <c r="BA75" s="243"/>
      <c r="BB75" s="243"/>
      <c r="BC75" s="243"/>
      <c r="BD75" s="243"/>
      <c r="BE75" s="243"/>
      <c r="BF75" s="243"/>
      <c r="BG75" s="256"/>
    </row>
    <row r="76" spans="1:59">
      <c r="A76" s="254">
        <v>65</v>
      </c>
      <c r="B76" s="242"/>
      <c r="C76" s="243"/>
      <c r="D76" s="243"/>
      <c r="E76" s="243"/>
      <c r="F76" s="243"/>
      <c r="G76" s="243"/>
      <c r="H76" s="243"/>
      <c r="I76" s="243"/>
      <c r="J76" s="243"/>
      <c r="K76" s="243"/>
      <c r="L76" s="243"/>
      <c r="M76" s="243"/>
      <c r="N76" s="256"/>
      <c r="P76" s="254">
        <v>65</v>
      </c>
      <c r="Q76" s="242"/>
      <c r="R76" s="243"/>
      <c r="S76" s="243"/>
      <c r="T76" s="243"/>
      <c r="U76" s="243"/>
      <c r="V76" s="243"/>
      <c r="W76" s="243"/>
      <c r="X76" s="243"/>
      <c r="Y76" s="243"/>
      <c r="Z76" s="243"/>
      <c r="AA76" s="243"/>
      <c r="AB76" s="243"/>
      <c r="AC76" s="256"/>
      <c r="AE76" s="254">
        <v>65</v>
      </c>
      <c r="AF76" s="242"/>
      <c r="AG76" s="243"/>
      <c r="AH76" s="243"/>
      <c r="AI76" s="243"/>
      <c r="AJ76" s="243"/>
      <c r="AK76" s="243"/>
      <c r="AL76" s="243"/>
      <c r="AM76" s="243"/>
      <c r="AN76" s="243"/>
      <c r="AO76" s="243"/>
      <c r="AP76" s="243"/>
      <c r="AQ76" s="243"/>
      <c r="AR76" s="256"/>
      <c r="AT76" s="254">
        <v>65</v>
      </c>
      <c r="AU76" s="242"/>
      <c r="AV76" s="243"/>
      <c r="AW76" s="243"/>
      <c r="AX76" s="243"/>
      <c r="AY76" s="243"/>
      <c r="AZ76" s="243"/>
      <c r="BA76" s="243"/>
      <c r="BB76" s="243"/>
      <c r="BC76" s="243"/>
      <c r="BD76" s="243"/>
      <c r="BE76" s="243"/>
      <c r="BF76" s="243"/>
      <c r="BG76" s="256"/>
    </row>
    <row r="77" spans="1:59">
      <c r="A77" s="254">
        <v>66</v>
      </c>
      <c r="B77" s="242"/>
      <c r="C77" s="243"/>
      <c r="D77" s="243"/>
      <c r="E77" s="243"/>
      <c r="F77" s="243"/>
      <c r="G77" s="243"/>
      <c r="H77" s="243"/>
      <c r="I77" s="243"/>
      <c r="J77" s="243"/>
      <c r="K77" s="243"/>
      <c r="L77" s="243"/>
      <c r="M77" s="243"/>
      <c r="N77" s="256"/>
      <c r="P77" s="254">
        <v>66</v>
      </c>
      <c r="Q77" s="242"/>
      <c r="R77" s="243"/>
      <c r="S77" s="243"/>
      <c r="T77" s="243"/>
      <c r="U77" s="243"/>
      <c r="V77" s="243"/>
      <c r="W77" s="243"/>
      <c r="X77" s="243"/>
      <c r="Y77" s="243"/>
      <c r="Z77" s="243"/>
      <c r="AA77" s="243"/>
      <c r="AB77" s="243"/>
      <c r="AC77" s="256"/>
      <c r="AE77" s="254">
        <v>66</v>
      </c>
      <c r="AF77" s="242"/>
      <c r="AG77" s="243"/>
      <c r="AH77" s="243"/>
      <c r="AI77" s="243"/>
      <c r="AJ77" s="243"/>
      <c r="AK77" s="243"/>
      <c r="AL77" s="243"/>
      <c r="AM77" s="243"/>
      <c r="AN77" s="243"/>
      <c r="AO77" s="243"/>
      <c r="AP77" s="243"/>
      <c r="AQ77" s="243"/>
      <c r="AR77" s="256"/>
      <c r="AT77" s="254">
        <v>66</v>
      </c>
      <c r="AU77" s="242"/>
      <c r="AV77" s="243"/>
      <c r="AW77" s="243"/>
      <c r="AX77" s="243"/>
      <c r="AY77" s="243"/>
      <c r="AZ77" s="243"/>
      <c r="BA77" s="243"/>
      <c r="BB77" s="243"/>
      <c r="BC77" s="243"/>
      <c r="BD77" s="243"/>
      <c r="BE77" s="243"/>
      <c r="BF77" s="243"/>
      <c r="BG77" s="256"/>
    </row>
    <row r="78" spans="1:59">
      <c r="A78" s="254">
        <v>67</v>
      </c>
      <c r="B78" s="242"/>
      <c r="C78" s="243"/>
      <c r="D78" s="243"/>
      <c r="E78" s="243"/>
      <c r="F78" s="243"/>
      <c r="G78" s="243"/>
      <c r="H78" s="243"/>
      <c r="I78" s="243"/>
      <c r="J78" s="243"/>
      <c r="K78" s="243"/>
      <c r="L78" s="243"/>
      <c r="M78" s="243"/>
      <c r="N78" s="256"/>
      <c r="P78" s="254">
        <v>67</v>
      </c>
      <c r="Q78" s="242"/>
      <c r="R78" s="243"/>
      <c r="S78" s="243"/>
      <c r="T78" s="243"/>
      <c r="U78" s="243"/>
      <c r="V78" s="243"/>
      <c r="W78" s="243"/>
      <c r="X78" s="243"/>
      <c r="Y78" s="243"/>
      <c r="Z78" s="243"/>
      <c r="AA78" s="243"/>
      <c r="AB78" s="243"/>
      <c r="AC78" s="256"/>
      <c r="AE78" s="254">
        <v>67</v>
      </c>
      <c r="AF78" s="242"/>
      <c r="AG78" s="243"/>
      <c r="AH78" s="243"/>
      <c r="AI78" s="243"/>
      <c r="AJ78" s="243"/>
      <c r="AK78" s="243"/>
      <c r="AL78" s="243"/>
      <c r="AM78" s="243"/>
      <c r="AN78" s="243"/>
      <c r="AO78" s="243"/>
      <c r="AP78" s="243"/>
      <c r="AQ78" s="243"/>
      <c r="AR78" s="256"/>
      <c r="AT78" s="254">
        <v>67</v>
      </c>
      <c r="AU78" s="242"/>
      <c r="AV78" s="243"/>
      <c r="AW78" s="243"/>
      <c r="AX78" s="243"/>
      <c r="AY78" s="243"/>
      <c r="AZ78" s="243"/>
      <c r="BA78" s="243"/>
      <c r="BB78" s="243"/>
      <c r="BC78" s="243"/>
      <c r="BD78" s="243"/>
      <c r="BE78" s="243"/>
      <c r="BF78" s="243"/>
      <c r="BG78" s="256"/>
    </row>
    <row r="79" spans="1:59">
      <c r="A79" s="254">
        <v>68</v>
      </c>
      <c r="B79" s="242"/>
      <c r="C79" s="243"/>
      <c r="D79" s="243"/>
      <c r="E79" s="243"/>
      <c r="F79" s="243"/>
      <c r="G79" s="243"/>
      <c r="H79" s="243"/>
      <c r="I79" s="243"/>
      <c r="J79" s="243"/>
      <c r="K79" s="243"/>
      <c r="L79" s="243"/>
      <c r="M79" s="243"/>
      <c r="N79" s="256"/>
      <c r="P79" s="254">
        <v>68</v>
      </c>
      <c r="Q79" s="242"/>
      <c r="R79" s="243"/>
      <c r="S79" s="243"/>
      <c r="T79" s="243"/>
      <c r="U79" s="243"/>
      <c r="V79" s="243"/>
      <c r="W79" s="243"/>
      <c r="X79" s="243"/>
      <c r="Y79" s="243"/>
      <c r="Z79" s="243"/>
      <c r="AA79" s="243"/>
      <c r="AB79" s="243"/>
      <c r="AC79" s="256"/>
      <c r="AE79" s="254">
        <v>68</v>
      </c>
      <c r="AF79" s="242"/>
      <c r="AG79" s="243"/>
      <c r="AH79" s="243"/>
      <c r="AI79" s="243"/>
      <c r="AJ79" s="243"/>
      <c r="AK79" s="243"/>
      <c r="AL79" s="243"/>
      <c r="AM79" s="243"/>
      <c r="AN79" s="243"/>
      <c r="AO79" s="243"/>
      <c r="AP79" s="243"/>
      <c r="AQ79" s="243"/>
      <c r="AR79" s="256"/>
      <c r="AT79" s="254">
        <v>68</v>
      </c>
      <c r="AU79" s="242"/>
      <c r="AV79" s="243"/>
      <c r="AW79" s="243"/>
      <c r="AX79" s="243"/>
      <c r="AY79" s="243"/>
      <c r="AZ79" s="243"/>
      <c r="BA79" s="243"/>
      <c r="BB79" s="243"/>
      <c r="BC79" s="243"/>
      <c r="BD79" s="243"/>
      <c r="BE79" s="243"/>
      <c r="BF79" s="243"/>
      <c r="BG79" s="256"/>
    </row>
    <row r="80" spans="1:59">
      <c r="A80" s="254">
        <v>69</v>
      </c>
      <c r="B80" s="242"/>
      <c r="C80" s="243"/>
      <c r="D80" s="243"/>
      <c r="E80" s="243"/>
      <c r="F80" s="243"/>
      <c r="G80" s="243"/>
      <c r="H80" s="243"/>
      <c r="I80" s="243"/>
      <c r="J80" s="243"/>
      <c r="K80" s="243"/>
      <c r="L80" s="243"/>
      <c r="M80" s="243"/>
      <c r="N80" s="256"/>
      <c r="P80" s="254">
        <v>69</v>
      </c>
      <c r="Q80" s="242"/>
      <c r="R80" s="243"/>
      <c r="S80" s="243"/>
      <c r="T80" s="243"/>
      <c r="U80" s="243"/>
      <c r="V80" s="243"/>
      <c r="W80" s="243"/>
      <c r="X80" s="243"/>
      <c r="Y80" s="243"/>
      <c r="Z80" s="243"/>
      <c r="AA80" s="243"/>
      <c r="AB80" s="243"/>
      <c r="AC80" s="256"/>
      <c r="AE80" s="254">
        <v>69</v>
      </c>
      <c r="AF80" s="242"/>
      <c r="AG80" s="243"/>
      <c r="AH80" s="243"/>
      <c r="AI80" s="243"/>
      <c r="AJ80" s="243"/>
      <c r="AK80" s="243"/>
      <c r="AL80" s="243"/>
      <c r="AM80" s="243"/>
      <c r="AN80" s="243"/>
      <c r="AO80" s="243"/>
      <c r="AP80" s="243"/>
      <c r="AQ80" s="243"/>
      <c r="AR80" s="256"/>
      <c r="AT80" s="254">
        <v>69</v>
      </c>
      <c r="AU80" s="242"/>
      <c r="AV80" s="243"/>
      <c r="AW80" s="243"/>
      <c r="AX80" s="243"/>
      <c r="AY80" s="243"/>
      <c r="AZ80" s="243"/>
      <c r="BA80" s="243"/>
      <c r="BB80" s="243"/>
      <c r="BC80" s="243"/>
      <c r="BD80" s="243"/>
      <c r="BE80" s="243"/>
      <c r="BF80" s="243"/>
      <c r="BG80" s="256"/>
    </row>
    <row r="81" spans="1:59">
      <c r="A81" s="254">
        <v>70</v>
      </c>
      <c r="B81" s="242"/>
      <c r="C81" s="243"/>
      <c r="D81" s="243"/>
      <c r="E81" s="243"/>
      <c r="F81" s="243"/>
      <c r="G81" s="243"/>
      <c r="H81" s="243"/>
      <c r="I81" s="243"/>
      <c r="J81" s="243"/>
      <c r="K81" s="243"/>
      <c r="L81" s="243"/>
      <c r="M81" s="243"/>
      <c r="N81" s="256"/>
      <c r="P81" s="254">
        <v>70</v>
      </c>
      <c r="Q81" s="242"/>
      <c r="R81" s="243"/>
      <c r="S81" s="243"/>
      <c r="T81" s="243"/>
      <c r="U81" s="243"/>
      <c r="V81" s="243"/>
      <c r="W81" s="243"/>
      <c r="X81" s="243"/>
      <c r="Y81" s="243"/>
      <c r="Z81" s="243"/>
      <c r="AA81" s="243"/>
      <c r="AB81" s="243"/>
      <c r="AC81" s="256"/>
      <c r="AE81" s="254">
        <v>70</v>
      </c>
      <c r="AF81" s="242"/>
      <c r="AG81" s="243"/>
      <c r="AH81" s="243"/>
      <c r="AI81" s="243"/>
      <c r="AJ81" s="243"/>
      <c r="AK81" s="243"/>
      <c r="AL81" s="243"/>
      <c r="AM81" s="243"/>
      <c r="AN81" s="243"/>
      <c r="AO81" s="243"/>
      <c r="AP81" s="243"/>
      <c r="AQ81" s="243"/>
      <c r="AR81" s="256"/>
      <c r="AT81" s="254">
        <v>70</v>
      </c>
      <c r="AU81" s="242"/>
      <c r="AV81" s="243"/>
      <c r="AW81" s="243"/>
      <c r="AX81" s="243"/>
      <c r="AY81" s="243"/>
      <c r="AZ81" s="243"/>
      <c r="BA81" s="243"/>
      <c r="BB81" s="243"/>
      <c r="BC81" s="243"/>
      <c r="BD81" s="243"/>
      <c r="BE81" s="243"/>
      <c r="BF81" s="243"/>
      <c r="BG81" s="256"/>
    </row>
    <row r="82" spans="1:59">
      <c r="A82" s="254">
        <v>71</v>
      </c>
      <c r="B82" s="242"/>
      <c r="C82" s="243"/>
      <c r="D82" s="243"/>
      <c r="E82" s="243"/>
      <c r="F82" s="243"/>
      <c r="G82" s="243"/>
      <c r="H82" s="243"/>
      <c r="I82" s="243"/>
      <c r="J82" s="243"/>
      <c r="K82" s="243"/>
      <c r="L82" s="243"/>
      <c r="M82" s="243"/>
      <c r="N82" s="256"/>
      <c r="P82" s="254">
        <v>71</v>
      </c>
      <c r="Q82" s="242"/>
      <c r="R82" s="243"/>
      <c r="S82" s="243"/>
      <c r="T82" s="243"/>
      <c r="U82" s="243"/>
      <c r="V82" s="243"/>
      <c r="W82" s="243"/>
      <c r="X82" s="243"/>
      <c r="Y82" s="243"/>
      <c r="Z82" s="243"/>
      <c r="AA82" s="243"/>
      <c r="AB82" s="243"/>
      <c r="AC82" s="256"/>
      <c r="AE82" s="254">
        <v>71</v>
      </c>
      <c r="AF82" s="242"/>
      <c r="AG82" s="243"/>
      <c r="AH82" s="243"/>
      <c r="AI82" s="243"/>
      <c r="AJ82" s="243"/>
      <c r="AK82" s="243"/>
      <c r="AL82" s="243"/>
      <c r="AM82" s="243"/>
      <c r="AN82" s="243"/>
      <c r="AO82" s="243"/>
      <c r="AP82" s="243"/>
      <c r="AQ82" s="243"/>
      <c r="AR82" s="256"/>
      <c r="AT82" s="254">
        <v>71</v>
      </c>
      <c r="AU82" s="242"/>
      <c r="AV82" s="243"/>
      <c r="AW82" s="243"/>
      <c r="AX82" s="243"/>
      <c r="AY82" s="243"/>
      <c r="AZ82" s="243"/>
      <c r="BA82" s="243"/>
      <c r="BB82" s="243"/>
      <c r="BC82" s="243"/>
      <c r="BD82" s="243"/>
      <c r="BE82" s="243"/>
      <c r="BF82" s="243"/>
      <c r="BG82" s="256"/>
    </row>
    <row r="83" spans="1:59">
      <c r="A83" s="254">
        <v>72</v>
      </c>
      <c r="B83" s="242"/>
      <c r="C83" s="243"/>
      <c r="D83" s="243"/>
      <c r="E83" s="243"/>
      <c r="F83" s="243"/>
      <c r="G83" s="243"/>
      <c r="H83" s="243"/>
      <c r="I83" s="243"/>
      <c r="J83" s="243"/>
      <c r="K83" s="243"/>
      <c r="L83" s="243"/>
      <c r="M83" s="243"/>
      <c r="N83" s="256"/>
      <c r="P83" s="254">
        <v>72</v>
      </c>
      <c r="Q83" s="242"/>
      <c r="R83" s="243"/>
      <c r="S83" s="243"/>
      <c r="T83" s="243"/>
      <c r="U83" s="243"/>
      <c r="V83" s="243"/>
      <c r="W83" s="243"/>
      <c r="X83" s="243"/>
      <c r="Y83" s="243"/>
      <c r="Z83" s="243"/>
      <c r="AA83" s="243"/>
      <c r="AB83" s="243"/>
      <c r="AC83" s="256"/>
      <c r="AE83" s="254">
        <v>72</v>
      </c>
      <c r="AF83" s="242"/>
      <c r="AG83" s="243"/>
      <c r="AH83" s="243"/>
      <c r="AI83" s="243"/>
      <c r="AJ83" s="243"/>
      <c r="AK83" s="243"/>
      <c r="AL83" s="243"/>
      <c r="AM83" s="243"/>
      <c r="AN83" s="243"/>
      <c r="AO83" s="243"/>
      <c r="AP83" s="243"/>
      <c r="AQ83" s="243"/>
      <c r="AR83" s="256"/>
      <c r="AT83" s="254">
        <v>72</v>
      </c>
      <c r="AU83" s="242"/>
      <c r="AV83" s="243"/>
      <c r="AW83" s="243"/>
      <c r="AX83" s="243"/>
      <c r="AY83" s="243"/>
      <c r="AZ83" s="243"/>
      <c r="BA83" s="243"/>
      <c r="BB83" s="243"/>
      <c r="BC83" s="243"/>
      <c r="BD83" s="243"/>
      <c r="BE83" s="243"/>
      <c r="BF83" s="243"/>
      <c r="BG83" s="256"/>
    </row>
    <row r="84" spans="1:59">
      <c r="A84" s="254">
        <v>73</v>
      </c>
      <c r="B84" s="242"/>
      <c r="C84" s="243"/>
      <c r="D84" s="243"/>
      <c r="E84" s="243"/>
      <c r="F84" s="243"/>
      <c r="G84" s="243"/>
      <c r="H84" s="243"/>
      <c r="I84" s="243"/>
      <c r="J84" s="243"/>
      <c r="K84" s="243"/>
      <c r="L84" s="243"/>
      <c r="M84" s="243"/>
      <c r="N84" s="256"/>
      <c r="P84" s="254">
        <v>73</v>
      </c>
      <c r="Q84" s="242"/>
      <c r="R84" s="243"/>
      <c r="S84" s="243"/>
      <c r="T84" s="243"/>
      <c r="U84" s="243"/>
      <c r="V84" s="243"/>
      <c r="W84" s="243"/>
      <c r="X84" s="243"/>
      <c r="Y84" s="243"/>
      <c r="Z84" s="243"/>
      <c r="AA84" s="243"/>
      <c r="AB84" s="243"/>
      <c r="AC84" s="256"/>
      <c r="AE84" s="254">
        <v>73</v>
      </c>
      <c r="AF84" s="242"/>
      <c r="AG84" s="243"/>
      <c r="AH84" s="243"/>
      <c r="AI84" s="243"/>
      <c r="AJ84" s="243"/>
      <c r="AK84" s="243"/>
      <c r="AL84" s="243"/>
      <c r="AM84" s="243"/>
      <c r="AN84" s="243"/>
      <c r="AO84" s="243"/>
      <c r="AP84" s="243"/>
      <c r="AQ84" s="243"/>
      <c r="AR84" s="256"/>
      <c r="AT84" s="254">
        <v>73</v>
      </c>
      <c r="AU84" s="242"/>
      <c r="AV84" s="243"/>
      <c r="AW84" s="243"/>
      <c r="AX84" s="243"/>
      <c r="AY84" s="243"/>
      <c r="AZ84" s="243"/>
      <c r="BA84" s="243"/>
      <c r="BB84" s="243"/>
      <c r="BC84" s="243"/>
      <c r="BD84" s="243"/>
      <c r="BE84" s="243"/>
      <c r="BF84" s="243"/>
      <c r="BG84" s="256"/>
    </row>
    <row r="85" spans="1:59">
      <c r="A85" s="254">
        <v>74</v>
      </c>
      <c r="B85" s="242"/>
      <c r="C85" s="243"/>
      <c r="D85" s="243"/>
      <c r="E85" s="243"/>
      <c r="F85" s="243"/>
      <c r="G85" s="243"/>
      <c r="H85" s="243"/>
      <c r="I85" s="243"/>
      <c r="J85" s="243"/>
      <c r="K85" s="243"/>
      <c r="L85" s="243"/>
      <c r="M85" s="243"/>
      <c r="N85" s="256"/>
      <c r="P85" s="254">
        <v>74</v>
      </c>
      <c r="Q85" s="242"/>
      <c r="R85" s="243"/>
      <c r="S85" s="243"/>
      <c r="T85" s="243"/>
      <c r="U85" s="243"/>
      <c r="V85" s="243"/>
      <c r="W85" s="243"/>
      <c r="X85" s="243"/>
      <c r="Y85" s="243"/>
      <c r="Z85" s="243"/>
      <c r="AA85" s="243"/>
      <c r="AB85" s="243"/>
      <c r="AC85" s="256"/>
      <c r="AE85" s="254">
        <v>74</v>
      </c>
      <c r="AF85" s="242"/>
      <c r="AG85" s="243"/>
      <c r="AH85" s="243"/>
      <c r="AI85" s="243"/>
      <c r="AJ85" s="243"/>
      <c r="AK85" s="243"/>
      <c r="AL85" s="243"/>
      <c r="AM85" s="243"/>
      <c r="AN85" s="243"/>
      <c r="AO85" s="243"/>
      <c r="AP85" s="243"/>
      <c r="AQ85" s="243"/>
      <c r="AR85" s="256"/>
      <c r="AT85" s="254">
        <v>74</v>
      </c>
      <c r="AU85" s="242"/>
      <c r="AV85" s="243"/>
      <c r="AW85" s="243"/>
      <c r="AX85" s="243"/>
      <c r="AY85" s="243"/>
      <c r="AZ85" s="243"/>
      <c r="BA85" s="243"/>
      <c r="BB85" s="243"/>
      <c r="BC85" s="243"/>
      <c r="BD85" s="243"/>
      <c r="BE85" s="243"/>
      <c r="BF85" s="243"/>
      <c r="BG85" s="256"/>
    </row>
    <row r="86" spans="1:59">
      <c r="A86" s="254">
        <v>75</v>
      </c>
      <c r="B86" s="242"/>
      <c r="C86" s="243"/>
      <c r="D86" s="243"/>
      <c r="E86" s="243"/>
      <c r="F86" s="243"/>
      <c r="G86" s="243"/>
      <c r="H86" s="243"/>
      <c r="I86" s="243"/>
      <c r="J86" s="243"/>
      <c r="K86" s="243"/>
      <c r="L86" s="243"/>
      <c r="M86" s="243"/>
      <c r="N86" s="256"/>
      <c r="P86" s="254">
        <v>75</v>
      </c>
      <c r="Q86" s="242"/>
      <c r="R86" s="243"/>
      <c r="S86" s="243"/>
      <c r="T86" s="243"/>
      <c r="U86" s="243"/>
      <c r="V86" s="243"/>
      <c r="W86" s="243"/>
      <c r="X86" s="243"/>
      <c r="Y86" s="243"/>
      <c r="Z86" s="243"/>
      <c r="AA86" s="243"/>
      <c r="AB86" s="243"/>
      <c r="AC86" s="256"/>
      <c r="AE86" s="254">
        <v>75</v>
      </c>
      <c r="AF86" s="242"/>
      <c r="AG86" s="243"/>
      <c r="AH86" s="243"/>
      <c r="AI86" s="243"/>
      <c r="AJ86" s="243"/>
      <c r="AK86" s="243"/>
      <c r="AL86" s="243"/>
      <c r="AM86" s="243"/>
      <c r="AN86" s="243"/>
      <c r="AO86" s="243"/>
      <c r="AP86" s="243"/>
      <c r="AQ86" s="243"/>
      <c r="AR86" s="256"/>
      <c r="AT86" s="254">
        <v>75</v>
      </c>
      <c r="AU86" s="242"/>
      <c r="AV86" s="243"/>
      <c r="AW86" s="243"/>
      <c r="AX86" s="243"/>
      <c r="AY86" s="243"/>
      <c r="AZ86" s="243"/>
      <c r="BA86" s="243"/>
      <c r="BB86" s="243"/>
      <c r="BC86" s="243"/>
      <c r="BD86" s="243"/>
      <c r="BE86" s="243"/>
      <c r="BF86" s="243"/>
      <c r="BG86" s="256"/>
    </row>
    <row r="87" spans="1:59">
      <c r="A87" s="254">
        <v>76</v>
      </c>
      <c r="B87" s="242"/>
      <c r="C87" s="243"/>
      <c r="D87" s="243"/>
      <c r="E87" s="243"/>
      <c r="F87" s="243"/>
      <c r="G87" s="243"/>
      <c r="H87" s="243"/>
      <c r="I87" s="243"/>
      <c r="J87" s="243"/>
      <c r="K87" s="243"/>
      <c r="L87" s="243"/>
      <c r="M87" s="243"/>
      <c r="N87" s="256"/>
      <c r="P87" s="254">
        <v>76</v>
      </c>
      <c r="Q87" s="242"/>
      <c r="R87" s="243"/>
      <c r="S87" s="243"/>
      <c r="T87" s="243"/>
      <c r="U87" s="243"/>
      <c r="V87" s="243"/>
      <c r="W87" s="243"/>
      <c r="X87" s="243"/>
      <c r="Y87" s="243"/>
      <c r="Z87" s="243"/>
      <c r="AA87" s="243"/>
      <c r="AB87" s="243"/>
      <c r="AC87" s="256"/>
      <c r="AE87" s="254">
        <v>76</v>
      </c>
      <c r="AF87" s="242"/>
      <c r="AG87" s="243"/>
      <c r="AH87" s="243"/>
      <c r="AI87" s="243"/>
      <c r="AJ87" s="243"/>
      <c r="AK87" s="243"/>
      <c r="AL87" s="243"/>
      <c r="AM87" s="243"/>
      <c r="AN87" s="243"/>
      <c r="AO87" s="243"/>
      <c r="AP87" s="243"/>
      <c r="AQ87" s="243"/>
      <c r="AR87" s="256"/>
      <c r="AT87" s="254">
        <v>76</v>
      </c>
      <c r="AU87" s="242"/>
      <c r="AV87" s="243"/>
      <c r="AW87" s="243"/>
      <c r="AX87" s="243"/>
      <c r="AY87" s="243"/>
      <c r="AZ87" s="243"/>
      <c r="BA87" s="243"/>
      <c r="BB87" s="243"/>
      <c r="BC87" s="243"/>
      <c r="BD87" s="243"/>
      <c r="BE87" s="243"/>
      <c r="BF87" s="243"/>
      <c r="BG87" s="256"/>
    </row>
    <row r="88" spans="1:59">
      <c r="A88" s="254">
        <v>77</v>
      </c>
      <c r="B88" s="242"/>
      <c r="C88" s="243"/>
      <c r="D88" s="243"/>
      <c r="E88" s="243"/>
      <c r="F88" s="243"/>
      <c r="G88" s="243"/>
      <c r="H88" s="243"/>
      <c r="I88" s="243"/>
      <c r="J88" s="243"/>
      <c r="K88" s="243"/>
      <c r="L88" s="243"/>
      <c r="M88" s="243"/>
      <c r="N88" s="256"/>
      <c r="P88" s="254">
        <v>77</v>
      </c>
      <c r="Q88" s="242"/>
      <c r="R88" s="243"/>
      <c r="S88" s="243"/>
      <c r="T88" s="243"/>
      <c r="U88" s="243"/>
      <c r="V88" s="243"/>
      <c r="W88" s="243"/>
      <c r="X88" s="243"/>
      <c r="Y88" s="243"/>
      <c r="Z88" s="243"/>
      <c r="AA88" s="243"/>
      <c r="AB88" s="243"/>
      <c r="AC88" s="256"/>
      <c r="AE88" s="254">
        <v>77</v>
      </c>
      <c r="AF88" s="242"/>
      <c r="AG88" s="243"/>
      <c r="AH88" s="243"/>
      <c r="AI88" s="243"/>
      <c r="AJ88" s="243"/>
      <c r="AK88" s="243"/>
      <c r="AL88" s="243"/>
      <c r="AM88" s="243"/>
      <c r="AN88" s="243"/>
      <c r="AO88" s="243"/>
      <c r="AP88" s="243"/>
      <c r="AQ88" s="243"/>
      <c r="AR88" s="256"/>
      <c r="AT88" s="254">
        <v>77</v>
      </c>
      <c r="AU88" s="242"/>
      <c r="AV88" s="243"/>
      <c r="AW88" s="243"/>
      <c r="AX88" s="243"/>
      <c r="AY88" s="243"/>
      <c r="AZ88" s="243"/>
      <c r="BA88" s="243"/>
      <c r="BB88" s="243"/>
      <c r="BC88" s="243"/>
      <c r="BD88" s="243"/>
      <c r="BE88" s="243"/>
      <c r="BF88" s="243"/>
      <c r="BG88" s="256"/>
    </row>
    <row r="89" spans="1:59">
      <c r="A89" s="254">
        <v>78</v>
      </c>
      <c r="B89" s="242"/>
      <c r="C89" s="243"/>
      <c r="D89" s="243"/>
      <c r="E89" s="243"/>
      <c r="F89" s="243"/>
      <c r="G89" s="243"/>
      <c r="H89" s="243"/>
      <c r="I89" s="243"/>
      <c r="J89" s="243"/>
      <c r="K89" s="243"/>
      <c r="L89" s="243"/>
      <c r="M89" s="243"/>
      <c r="N89" s="256"/>
      <c r="P89" s="254">
        <v>78</v>
      </c>
      <c r="Q89" s="242"/>
      <c r="R89" s="243"/>
      <c r="S89" s="243"/>
      <c r="T89" s="243"/>
      <c r="U89" s="243"/>
      <c r="V89" s="243"/>
      <c r="W89" s="243"/>
      <c r="X89" s="243"/>
      <c r="Y89" s="243"/>
      <c r="Z89" s="243"/>
      <c r="AA89" s="243"/>
      <c r="AB89" s="243"/>
      <c r="AC89" s="256"/>
      <c r="AE89" s="254">
        <v>78</v>
      </c>
      <c r="AF89" s="242"/>
      <c r="AG89" s="243"/>
      <c r="AH89" s="243"/>
      <c r="AI89" s="243"/>
      <c r="AJ89" s="243"/>
      <c r="AK89" s="243"/>
      <c r="AL89" s="243"/>
      <c r="AM89" s="243"/>
      <c r="AN89" s="243"/>
      <c r="AO89" s="243"/>
      <c r="AP89" s="243"/>
      <c r="AQ89" s="243"/>
      <c r="AR89" s="256"/>
      <c r="AT89" s="254">
        <v>78</v>
      </c>
      <c r="AU89" s="242"/>
      <c r="AV89" s="243"/>
      <c r="AW89" s="243"/>
      <c r="AX89" s="243"/>
      <c r="AY89" s="243"/>
      <c r="AZ89" s="243"/>
      <c r="BA89" s="243"/>
      <c r="BB89" s="243"/>
      <c r="BC89" s="243"/>
      <c r="BD89" s="243"/>
      <c r="BE89" s="243"/>
      <c r="BF89" s="243"/>
      <c r="BG89" s="256"/>
    </row>
    <row r="90" spans="1:59">
      <c r="A90" s="254">
        <v>79</v>
      </c>
      <c r="B90" s="242"/>
      <c r="C90" s="243"/>
      <c r="D90" s="243"/>
      <c r="E90" s="243"/>
      <c r="F90" s="243"/>
      <c r="G90" s="243"/>
      <c r="H90" s="243"/>
      <c r="I90" s="243"/>
      <c r="J90" s="243"/>
      <c r="K90" s="243"/>
      <c r="L90" s="243"/>
      <c r="M90" s="243"/>
      <c r="N90" s="256"/>
      <c r="P90" s="254">
        <v>79</v>
      </c>
      <c r="Q90" s="242"/>
      <c r="R90" s="243"/>
      <c r="S90" s="243"/>
      <c r="T90" s="243"/>
      <c r="U90" s="243"/>
      <c r="V90" s="243"/>
      <c r="W90" s="243"/>
      <c r="X90" s="243"/>
      <c r="Y90" s="243"/>
      <c r="Z90" s="243"/>
      <c r="AA90" s="243"/>
      <c r="AB90" s="243"/>
      <c r="AC90" s="256"/>
      <c r="AE90" s="254">
        <v>79</v>
      </c>
      <c r="AF90" s="242"/>
      <c r="AG90" s="243"/>
      <c r="AH90" s="243"/>
      <c r="AI90" s="243"/>
      <c r="AJ90" s="243"/>
      <c r="AK90" s="243"/>
      <c r="AL90" s="243"/>
      <c r="AM90" s="243"/>
      <c r="AN90" s="243"/>
      <c r="AO90" s="243"/>
      <c r="AP90" s="243"/>
      <c r="AQ90" s="243"/>
      <c r="AR90" s="256"/>
      <c r="AT90" s="254">
        <v>79</v>
      </c>
      <c r="AU90" s="242"/>
      <c r="AV90" s="243"/>
      <c r="AW90" s="243"/>
      <c r="AX90" s="243"/>
      <c r="AY90" s="243"/>
      <c r="AZ90" s="243"/>
      <c r="BA90" s="243"/>
      <c r="BB90" s="243"/>
      <c r="BC90" s="243"/>
      <c r="BD90" s="243"/>
      <c r="BE90" s="243"/>
      <c r="BF90" s="243"/>
      <c r="BG90" s="256"/>
    </row>
    <row r="91" spans="1:59">
      <c r="A91" s="254">
        <v>80</v>
      </c>
      <c r="B91" s="242"/>
      <c r="C91" s="243"/>
      <c r="D91" s="243"/>
      <c r="E91" s="243"/>
      <c r="F91" s="243"/>
      <c r="G91" s="243"/>
      <c r="H91" s="243"/>
      <c r="I91" s="243"/>
      <c r="J91" s="243"/>
      <c r="K91" s="243"/>
      <c r="L91" s="243"/>
      <c r="M91" s="243"/>
      <c r="N91" s="256"/>
      <c r="P91" s="254">
        <v>80</v>
      </c>
      <c r="Q91" s="242"/>
      <c r="R91" s="243"/>
      <c r="S91" s="243"/>
      <c r="T91" s="243"/>
      <c r="U91" s="243"/>
      <c r="V91" s="243"/>
      <c r="W91" s="243"/>
      <c r="X91" s="243"/>
      <c r="Y91" s="243"/>
      <c r="Z91" s="243"/>
      <c r="AA91" s="243"/>
      <c r="AB91" s="243"/>
      <c r="AC91" s="256"/>
      <c r="AE91" s="254">
        <v>80</v>
      </c>
      <c r="AF91" s="242"/>
      <c r="AG91" s="243"/>
      <c r="AH91" s="243"/>
      <c r="AI91" s="243"/>
      <c r="AJ91" s="243"/>
      <c r="AK91" s="243"/>
      <c r="AL91" s="243"/>
      <c r="AM91" s="243"/>
      <c r="AN91" s="243"/>
      <c r="AO91" s="243"/>
      <c r="AP91" s="243"/>
      <c r="AQ91" s="243"/>
      <c r="AR91" s="256"/>
      <c r="AT91" s="254">
        <v>80</v>
      </c>
      <c r="AU91" s="242"/>
      <c r="AV91" s="243"/>
      <c r="AW91" s="243"/>
      <c r="AX91" s="243"/>
      <c r="AY91" s="243"/>
      <c r="AZ91" s="243"/>
      <c r="BA91" s="243"/>
      <c r="BB91" s="243"/>
      <c r="BC91" s="243"/>
      <c r="BD91" s="243"/>
      <c r="BE91" s="243"/>
      <c r="BF91" s="243"/>
      <c r="BG91" s="256"/>
    </row>
    <row r="92" spans="1:59">
      <c r="A92" s="254">
        <v>81</v>
      </c>
      <c r="B92" s="242"/>
      <c r="C92" s="243"/>
      <c r="D92" s="243"/>
      <c r="E92" s="243"/>
      <c r="F92" s="243"/>
      <c r="G92" s="243"/>
      <c r="H92" s="243"/>
      <c r="I92" s="243"/>
      <c r="J92" s="243"/>
      <c r="K92" s="243"/>
      <c r="L92" s="243"/>
      <c r="M92" s="243"/>
      <c r="N92" s="256"/>
      <c r="P92" s="254">
        <v>81</v>
      </c>
      <c r="Q92" s="242"/>
      <c r="R92" s="243"/>
      <c r="S92" s="243"/>
      <c r="T92" s="243"/>
      <c r="U92" s="243"/>
      <c r="V92" s="243"/>
      <c r="W92" s="243"/>
      <c r="X92" s="243"/>
      <c r="Y92" s="243"/>
      <c r="Z92" s="243"/>
      <c r="AA92" s="243"/>
      <c r="AB92" s="243"/>
      <c r="AC92" s="256"/>
      <c r="AE92" s="254">
        <v>81</v>
      </c>
      <c r="AF92" s="242"/>
      <c r="AG92" s="243"/>
      <c r="AH92" s="243"/>
      <c r="AI92" s="243"/>
      <c r="AJ92" s="243"/>
      <c r="AK92" s="243"/>
      <c r="AL92" s="243"/>
      <c r="AM92" s="243"/>
      <c r="AN92" s="243"/>
      <c r="AO92" s="243"/>
      <c r="AP92" s="243"/>
      <c r="AQ92" s="243"/>
      <c r="AR92" s="256"/>
      <c r="AT92" s="254">
        <v>81</v>
      </c>
      <c r="AU92" s="242"/>
      <c r="AV92" s="243"/>
      <c r="AW92" s="243"/>
      <c r="AX92" s="243"/>
      <c r="AY92" s="243"/>
      <c r="AZ92" s="243"/>
      <c r="BA92" s="243"/>
      <c r="BB92" s="243"/>
      <c r="BC92" s="243"/>
      <c r="BD92" s="243"/>
      <c r="BE92" s="243"/>
      <c r="BF92" s="243"/>
      <c r="BG92" s="256"/>
    </row>
    <row r="93" spans="1:59">
      <c r="A93" s="254">
        <v>82</v>
      </c>
      <c r="B93" s="242"/>
      <c r="C93" s="243"/>
      <c r="D93" s="243"/>
      <c r="E93" s="243"/>
      <c r="F93" s="243"/>
      <c r="G93" s="243"/>
      <c r="H93" s="243"/>
      <c r="I93" s="243"/>
      <c r="J93" s="243"/>
      <c r="K93" s="243"/>
      <c r="L93" s="243"/>
      <c r="M93" s="243"/>
      <c r="N93" s="256"/>
      <c r="P93" s="254">
        <v>82</v>
      </c>
      <c r="Q93" s="242"/>
      <c r="R93" s="243"/>
      <c r="S93" s="243"/>
      <c r="T93" s="243"/>
      <c r="U93" s="243"/>
      <c r="V93" s="243"/>
      <c r="W93" s="243"/>
      <c r="X93" s="243"/>
      <c r="Y93" s="243"/>
      <c r="Z93" s="243"/>
      <c r="AA93" s="243"/>
      <c r="AB93" s="243"/>
      <c r="AC93" s="256"/>
      <c r="AE93" s="254">
        <v>82</v>
      </c>
      <c r="AF93" s="242"/>
      <c r="AG93" s="243"/>
      <c r="AH93" s="243"/>
      <c r="AI93" s="243"/>
      <c r="AJ93" s="243"/>
      <c r="AK93" s="243"/>
      <c r="AL93" s="243"/>
      <c r="AM93" s="243"/>
      <c r="AN93" s="243"/>
      <c r="AO93" s="243"/>
      <c r="AP93" s="243"/>
      <c r="AQ93" s="243"/>
      <c r="AR93" s="256"/>
      <c r="AT93" s="254">
        <v>82</v>
      </c>
      <c r="AU93" s="242"/>
      <c r="AV93" s="243"/>
      <c r="AW93" s="243"/>
      <c r="AX93" s="243"/>
      <c r="AY93" s="243"/>
      <c r="AZ93" s="243"/>
      <c r="BA93" s="243"/>
      <c r="BB93" s="243"/>
      <c r="BC93" s="243"/>
      <c r="BD93" s="243"/>
      <c r="BE93" s="243"/>
      <c r="BF93" s="243"/>
      <c r="BG93" s="256"/>
    </row>
    <row r="94" spans="1:59">
      <c r="A94" s="254">
        <v>83</v>
      </c>
      <c r="B94" s="242"/>
      <c r="C94" s="243"/>
      <c r="D94" s="243"/>
      <c r="E94" s="243"/>
      <c r="F94" s="243"/>
      <c r="G94" s="243"/>
      <c r="H94" s="243"/>
      <c r="I94" s="243"/>
      <c r="J94" s="243"/>
      <c r="K94" s="243"/>
      <c r="L94" s="243"/>
      <c r="M94" s="243"/>
      <c r="N94" s="256"/>
      <c r="P94" s="254">
        <v>83</v>
      </c>
      <c r="Q94" s="242"/>
      <c r="R94" s="243"/>
      <c r="S94" s="243"/>
      <c r="T94" s="243"/>
      <c r="U94" s="243"/>
      <c r="V94" s="243"/>
      <c r="W94" s="243"/>
      <c r="X94" s="243"/>
      <c r="Y94" s="243"/>
      <c r="Z94" s="243"/>
      <c r="AA94" s="243"/>
      <c r="AB94" s="243"/>
      <c r="AC94" s="256"/>
      <c r="AE94" s="254">
        <v>83</v>
      </c>
      <c r="AF94" s="242"/>
      <c r="AG94" s="243"/>
      <c r="AH94" s="243"/>
      <c r="AI94" s="243"/>
      <c r="AJ94" s="243"/>
      <c r="AK94" s="243"/>
      <c r="AL94" s="243"/>
      <c r="AM94" s="243"/>
      <c r="AN94" s="243"/>
      <c r="AO94" s="243"/>
      <c r="AP94" s="243"/>
      <c r="AQ94" s="243"/>
      <c r="AR94" s="256"/>
      <c r="AT94" s="254">
        <v>83</v>
      </c>
      <c r="AU94" s="242"/>
      <c r="AV94" s="243"/>
      <c r="AW94" s="243"/>
      <c r="AX94" s="243"/>
      <c r="AY94" s="243"/>
      <c r="AZ94" s="243"/>
      <c r="BA94" s="243"/>
      <c r="BB94" s="243"/>
      <c r="BC94" s="243"/>
      <c r="BD94" s="243"/>
      <c r="BE94" s="243"/>
      <c r="BF94" s="243"/>
      <c r="BG94" s="256"/>
    </row>
    <row r="95" spans="1:59">
      <c r="A95" s="254">
        <v>84</v>
      </c>
      <c r="B95" s="242"/>
      <c r="C95" s="243"/>
      <c r="D95" s="243"/>
      <c r="E95" s="243"/>
      <c r="F95" s="243"/>
      <c r="G95" s="243"/>
      <c r="H95" s="243"/>
      <c r="I95" s="243"/>
      <c r="J95" s="243"/>
      <c r="K95" s="243"/>
      <c r="L95" s="243"/>
      <c r="M95" s="243"/>
      <c r="N95" s="256"/>
      <c r="P95" s="254">
        <v>84</v>
      </c>
      <c r="Q95" s="242"/>
      <c r="R95" s="243"/>
      <c r="S95" s="243"/>
      <c r="T95" s="243"/>
      <c r="U95" s="243"/>
      <c r="V95" s="243"/>
      <c r="W95" s="243"/>
      <c r="X95" s="243"/>
      <c r="Y95" s="243"/>
      <c r="Z95" s="243"/>
      <c r="AA95" s="243"/>
      <c r="AB95" s="243"/>
      <c r="AC95" s="256"/>
      <c r="AE95" s="254">
        <v>84</v>
      </c>
      <c r="AF95" s="242"/>
      <c r="AG95" s="243"/>
      <c r="AH95" s="243"/>
      <c r="AI95" s="243"/>
      <c r="AJ95" s="243"/>
      <c r="AK95" s="243"/>
      <c r="AL95" s="243"/>
      <c r="AM95" s="243"/>
      <c r="AN95" s="243"/>
      <c r="AO95" s="243"/>
      <c r="AP95" s="243"/>
      <c r="AQ95" s="243"/>
      <c r="AR95" s="256"/>
      <c r="AT95" s="254">
        <v>84</v>
      </c>
      <c r="AU95" s="242"/>
      <c r="AV95" s="243"/>
      <c r="AW95" s="243"/>
      <c r="AX95" s="243"/>
      <c r="AY95" s="243"/>
      <c r="AZ95" s="243"/>
      <c r="BA95" s="243"/>
      <c r="BB95" s="243"/>
      <c r="BC95" s="243"/>
      <c r="BD95" s="243"/>
      <c r="BE95" s="243"/>
      <c r="BF95" s="243"/>
      <c r="BG95" s="256"/>
    </row>
    <row r="96" spans="1:59">
      <c r="A96" s="254">
        <v>85</v>
      </c>
      <c r="B96" s="242"/>
      <c r="C96" s="243"/>
      <c r="D96" s="243"/>
      <c r="E96" s="243"/>
      <c r="F96" s="243"/>
      <c r="G96" s="243"/>
      <c r="H96" s="243"/>
      <c r="I96" s="243"/>
      <c r="J96" s="243"/>
      <c r="K96" s="243"/>
      <c r="L96" s="243"/>
      <c r="M96" s="243"/>
      <c r="N96" s="256"/>
      <c r="P96" s="254">
        <v>85</v>
      </c>
      <c r="Q96" s="242"/>
      <c r="R96" s="243"/>
      <c r="S96" s="243"/>
      <c r="T96" s="243"/>
      <c r="U96" s="243"/>
      <c r="V96" s="243"/>
      <c r="W96" s="243"/>
      <c r="X96" s="243"/>
      <c r="Y96" s="243"/>
      <c r="Z96" s="243"/>
      <c r="AA96" s="243"/>
      <c r="AB96" s="243"/>
      <c r="AC96" s="256"/>
      <c r="AE96" s="254">
        <v>85</v>
      </c>
      <c r="AF96" s="242"/>
      <c r="AG96" s="243"/>
      <c r="AH96" s="243"/>
      <c r="AI96" s="243"/>
      <c r="AJ96" s="243"/>
      <c r="AK96" s="243"/>
      <c r="AL96" s="243"/>
      <c r="AM96" s="243"/>
      <c r="AN96" s="243"/>
      <c r="AO96" s="243"/>
      <c r="AP96" s="243"/>
      <c r="AQ96" s="243"/>
      <c r="AR96" s="256"/>
      <c r="AT96" s="254">
        <v>85</v>
      </c>
      <c r="AU96" s="242"/>
      <c r="AV96" s="243"/>
      <c r="AW96" s="243"/>
      <c r="AX96" s="243"/>
      <c r="AY96" s="243"/>
      <c r="AZ96" s="243"/>
      <c r="BA96" s="243"/>
      <c r="BB96" s="243"/>
      <c r="BC96" s="243"/>
      <c r="BD96" s="243"/>
      <c r="BE96" s="243"/>
      <c r="BF96" s="243"/>
      <c r="BG96" s="256"/>
    </row>
    <row r="97" spans="1:59">
      <c r="A97" s="254">
        <v>86</v>
      </c>
      <c r="B97" s="242"/>
      <c r="C97" s="243"/>
      <c r="D97" s="243"/>
      <c r="E97" s="243"/>
      <c r="F97" s="243"/>
      <c r="G97" s="243"/>
      <c r="H97" s="243"/>
      <c r="I97" s="243"/>
      <c r="J97" s="243"/>
      <c r="K97" s="243"/>
      <c r="L97" s="243"/>
      <c r="M97" s="243"/>
      <c r="N97" s="256"/>
      <c r="P97" s="254">
        <v>86</v>
      </c>
      <c r="Q97" s="242"/>
      <c r="R97" s="243"/>
      <c r="S97" s="243"/>
      <c r="T97" s="243"/>
      <c r="U97" s="243"/>
      <c r="V97" s="243"/>
      <c r="W97" s="243"/>
      <c r="X97" s="243"/>
      <c r="Y97" s="243"/>
      <c r="Z97" s="243"/>
      <c r="AA97" s="243"/>
      <c r="AB97" s="243"/>
      <c r="AC97" s="256"/>
      <c r="AE97" s="254">
        <v>86</v>
      </c>
      <c r="AF97" s="242"/>
      <c r="AG97" s="243"/>
      <c r="AH97" s="243"/>
      <c r="AI97" s="243"/>
      <c r="AJ97" s="243"/>
      <c r="AK97" s="243"/>
      <c r="AL97" s="243"/>
      <c r="AM97" s="243"/>
      <c r="AN97" s="243"/>
      <c r="AO97" s="243"/>
      <c r="AP97" s="243"/>
      <c r="AQ97" s="243"/>
      <c r="AR97" s="256"/>
      <c r="AT97" s="254">
        <v>86</v>
      </c>
      <c r="AU97" s="242"/>
      <c r="AV97" s="243"/>
      <c r="AW97" s="243"/>
      <c r="AX97" s="243"/>
      <c r="AY97" s="243"/>
      <c r="AZ97" s="243"/>
      <c r="BA97" s="243"/>
      <c r="BB97" s="243"/>
      <c r="BC97" s="243"/>
      <c r="BD97" s="243"/>
      <c r="BE97" s="243"/>
      <c r="BF97" s="243"/>
      <c r="BG97" s="256"/>
    </row>
    <row r="98" spans="1:59">
      <c r="A98" s="254">
        <v>87</v>
      </c>
      <c r="B98" s="242"/>
      <c r="C98" s="243"/>
      <c r="D98" s="243"/>
      <c r="E98" s="243"/>
      <c r="F98" s="243"/>
      <c r="G98" s="243"/>
      <c r="H98" s="243"/>
      <c r="I98" s="243"/>
      <c r="J98" s="243"/>
      <c r="K98" s="243"/>
      <c r="L98" s="243"/>
      <c r="M98" s="243"/>
      <c r="N98" s="256"/>
      <c r="P98" s="254">
        <v>87</v>
      </c>
      <c r="Q98" s="242"/>
      <c r="R98" s="243"/>
      <c r="S98" s="243"/>
      <c r="T98" s="243"/>
      <c r="U98" s="243"/>
      <c r="V98" s="243"/>
      <c r="W98" s="243"/>
      <c r="X98" s="243"/>
      <c r="Y98" s="243"/>
      <c r="Z98" s="243"/>
      <c r="AA98" s="243"/>
      <c r="AB98" s="243"/>
      <c r="AC98" s="256"/>
      <c r="AE98" s="254">
        <v>87</v>
      </c>
      <c r="AF98" s="242"/>
      <c r="AG98" s="243"/>
      <c r="AH98" s="243"/>
      <c r="AI98" s="243"/>
      <c r="AJ98" s="243"/>
      <c r="AK98" s="243"/>
      <c r="AL98" s="243"/>
      <c r="AM98" s="243"/>
      <c r="AN98" s="243"/>
      <c r="AO98" s="243"/>
      <c r="AP98" s="243"/>
      <c r="AQ98" s="243"/>
      <c r="AR98" s="256"/>
      <c r="AT98" s="254">
        <v>87</v>
      </c>
      <c r="AU98" s="242"/>
      <c r="AV98" s="243"/>
      <c r="AW98" s="243"/>
      <c r="AX98" s="243"/>
      <c r="AY98" s="243"/>
      <c r="AZ98" s="243"/>
      <c r="BA98" s="243"/>
      <c r="BB98" s="243"/>
      <c r="BC98" s="243"/>
      <c r="BD98" s="243"/>
      <c r="BE98" s="243"/>
      <c r="BF98" s="243"/>
      <c r="BG98" s="256"/>
    </row>
    <row r="99" spans="1:59">
      <c r="A99" s="254">
        <v>88</v>
      </c>
      <c r="B99" s="242"/>
      <c r="C99" s="243"/>
      <c r="D99" s="243"/>
      <c r="E99" s="243"/>
      <c r="F99" s="243"/>
      <c r="G99" s="243"/>
      <c r="H99" s="243"/>
      <c r="I99" s="243"/>
      <c r="J99" s="243"/>
      <c r="K99" s="243"/>
      <c r="L99" s="243"/>
      <c r="M99" s="243"/>
      <c r="N99" s="256"/>
      <c r="P99" s="254">
        <v>88</v>
      </c>
      <c r="Q99" s="242"/>
      <c r="R99" s="243"/>
      <c r="S99" s="243"/>
      <c r="T99" s="243"/>
      <c r="U99" s="243"/>
      <c r="V99" s="243"/>
      <c r="W99" s="243"/>
      <c r="X99" s="243"/>
      <c r="Y99" s="243"/>
      <c r="Z99" s="243"/>
      <c r="AA99" s="243"/>
      <c r="AB99" s="243"/>
      <c r="AC99" s="256"/>
      <c r="AE99" s="254">
        <v>88</v>
      </c>
      <c r="AF99" s="242"/>
      <c r="AG99" s="243"/>
      <c r="AH99" s="243"/>
      <c r="AI99" s="243"/>
      <c r="AJ99" s="243"/>
      <c r="AK99" s="243"/>
      <c r="AL99" s="243"/>
      <c r="AM99" s="243"/>
      <c r="AN99" s="243"/>
      <c r="AO99" s="243"/>
      <c r="AP99" s="243"/>
      <c r="AQ99" s="243"/>
      <c r="AR99" s="256"/>
      <c r="AT99" s="254">
        <v>88</v>
      </c>
      <c r="AU99" s="242"/>
      <c r="AV99" s="243"/>
      <c r="AW99" s="243"/>
      <c r="AX99" s="243"/>
      <c r="AY99" s="243"/>
      <c r="AZ99" s="243"/>
      <c r="BA99" s="243"/>
      <c r="BB99" s="243"/>
      <c r="BC99" s="243"/>
      <c r="BD99" s="243"/>
      <c r="BE99" s="243"/>
      <c r="BF99" s="243"/>
      <c r="BG99" s="256"/>
    </row>
    <row r="100" spans="1:59">
      <c r="A100" s="254">
        <v>89</v>
      </c>
      <c r="B100" s="242"/>
      <c r="C100" s="243"/>
      <c r="D100" s="243"/>
      <c r="E100" s="243"/>
      <c r="F100" s="243"/>
      <c r="G100" s="243"/>
      <c r="H100" s="243"/>
      <c r="I100" s="243"/>
      <c r="J100" s="243"/>
      <c r="K100" s="243"/>
      <c r="L100" s="243"/>
      <c r="M100" s="243"/>
      <c r="N100" s="256"/>
      <c r="P100" s="254">
        <v>89</v>
      </c>
      <c r="Q100" s="242"/>
      <c r="R100" s="243"/>
      <c r="S100" s="243"/>
      <c r="T100" s="243"/>
      <c r="U100" s="243"/>
      <c r="V100" s="243"/>
      <c r="W100" s="243"/>
      <c r="X100" s="243"/>
      <c r="Y100" s="243"/>
      <c r="Z100" s="243"/>
      <c r="AA100" s="243"/>
      <c r="AB100" s="243"/>
      <c r="AC100" s="256"/>
      <c r="AE100" s="254">
        <v>89</v>
      </c>
      <c r="AF100" s="242"/>
      <c r="AG100" s="243"/>
      <c r="AH100" s="243"/>
      <c r="AI100" s="243"/>
      <c r="AJ100" s="243"/>
      <c r="AK100" s="243"/>
      <c r="AL100" s="243"/>
      <c r="AM100" s="243"/>
      <c r="AN100" s="243"/>
      <c r="AO100" s="243"/>
      <c r="AP100" s="243"/>
      <c r="AQ100" s="243"/>
      <c r="AR100" s="256"/>
      <c r="AT100" s="254">
        <v>89</v>
      </c>
      <c r="AU100" s="242"/>
      <c r="AV100" s="243"/>
      <c r="AW100" s="243"/>
      <c r="AX100" s="243"/>
      <c r="AY100" s="243"/>
      <c r="AZ100" s="243"/>
      <c r="BA100" s="243"/>
      <c r="BB100" s="243"/>
      <c r="BC100" s="243"/>
      <c r="BD100" s="243"/>
      <c r="BE100" s="243"/>
      <c r="BF100" s="243"/>
      <c r="BG100" s="256"/>
    </row>
    <row r="101" spans="1:59">
      <c r="A101" s="254">
        <v>90</v>
      </c>
      <c r="B101" s="242"/>
      <c r="C101" s="243"/>
      <c r="D101" s="243"/>
      <c r="E101" s="243"/>
      <c r="F101" s="243"/>
      <c r="G101" s="243"/>
      <c r="H101" s="243"/>
      <c r="I101" s="243"/>
      <c r="J101" s="243"/>
      <c r="K101" s="243"/>
      <c r="L101" s="243"/>
      <c r="M101" s="243"/>
      <c r="N101" s="256"/>
      <c r="P101" s="254">
        <v>90</v>
      </c>
      <c r="Q101" s="242"/>
      <c r="R101" s="243"/>
      <c r="S101" s="243"/>
      <c r="T101" s="243"/>
      <c r="U101" s="243"/>
      <c r="V101" s="243"/>
      <c r="W101" s="243"/>
      <c r="X101" s="243"/>
      <c r="Y101" s="243"/>
      <c r="Z101" s="243"/>
      <c r="AA101" s="243"/>
      <c r="AB101" s="243"/>
      <c r="AC101" s="256"/>
      <c r="AE101" s="254">
        <v>90</v>
      </c>
      <c r="AF101" s="242"/>
      <c r="AG101" s="243"/>
      <c r="AH101" s="243"/>
      <c r="AI101" s="243"/>
      <c r="AJ101" s="243"/>
      <c r="AK101" s="243"/>
      <c r="AL101" s="243"/>
      <c r="AM101" s="243"/>
      <c r="AN101" s="243"/>
      <c r="AO101" s="243"/>
      <c r="AP101" s="243"/>
      <c r="AQ101" s="243"/>
      <c r="AR101" s="256"/>
      <c r="AT101" s="254">
        <v>90</v>
      </c>
      <c r="AU101" s="242"/>
      <c r="AV101" s="243"/>
      <c r="AW101" s="243"/>
      <c r="AX101" s="243"/>
      <c r="AY101" s="243"/>
      <c r="AZ101" s="243"/>
      <c r="BA101" s="243"/>
      <c r="BB101" s="243"/>
      <c r="BC101" s="243"/>
      <c r="BD101" s="243"/>
      <c r="BE101" s="243"/>
      <c r="BF101" s="243"/>
      <c r="BG101" s="256"/>
    </row>
    <row r="102" spans="1:59">
      <c r="A102" s="254">
        <v>91</v>
      </c>
      <c r="B102" s="242"/>
      <c r="C102" s="243"/>
      <c r="D102" s="243"/>
      <c r="E102" s="243"/>
      <c r="F102" s="243"/>
      <c r="G102" s="243"/>
      <c r="H102" s="243"/>
      <c r="I102" s="243"/>
      <c r="J102" s="243"/>
      <c r="K102" s="243"/>
      <c r="L102" s="243"/>
      <c r="M102" s="243"/>
      <c r="N102" s="256"/>
      <c r="P102" s="254">
        <v>91</v>
      </c>
      <c r="Q102" s="242"/>
      <c r="R102" s="243"/>
      <c r="S102" s="243"/>
      <c r="T102" s="243"/>
      <c r="U102" s="243"/>
      <c r="V102" s="243"/>
      <c r="W102" s="243"/>
      <c r="X102" s="243"/>
      <c r="Y102" s="243"/>
      <c r="Z102" s="243"/>
      <c r="AA102" s="243"/>
      <c r="AB102" s="243"/>
      <c r="AC102" s="256"/>
      <c r="AE102" s="254">
        <v>91</v>
      </c>
      <c r="AF102" s="242"/>
      <c r="AG102" s="243"/>
      <c r="AH102" s="243"/>
      <c r="AI102" s="243"/>
      <c r="AJ102" s="243"/>
      <c r="AK102" s="243"/>
      <c r="AL102" s="243"/>
      <c r="AM102" s="243"/>
      <c r="AN102" s="243"/>
      <c r="AO102" s="243"/>
      <c r="AP102" s="243"/>
      <c r="AQ102" s="243"/>
      <c r="AR102" s="256"/>
      <c r="AT102" s="254">
        <v>91</v>
      </c>
      <c r="AU102" s="242"/>
      <c r="AV102" s="243"/>
      <c r="AW102" s="243"/>
      <c r="AX102" s="243"/>
      <c r="AY102" s="243"/>
      <c r="AZ102" s="243"/>
      <c r="BA102" s="243"/>
      <c r="BB102" s="243"/>
      <c r="BC102" s="243"/>
      <c r="BD102" s="243"/>
      <c r="BE102" s="243"/>
      <c r="BF102" s="243"/>
      <c r="BG102" s="256"/>
    </row>
    <row r="103" spans="1:59">
      <c r="A103" s="254">
        <v>92</v>
      </c>
      <c r="B103" s="242"/>
      <c r="C103" s="243"/>
      <c r="D103" s="243"/>
      <c r="E103" s="243"/>
      <c r="F103" s="243"/>
      <c r="G103" s="243"/>
      <c r="H103" s="243"/>
      <c r="I103" s="243"/>
      <c r="J103" s="243"/>
      <c r="K103" s="243"/>
      <c r="L103" s="243"/>
      <c r="M103" s="243"/>
      <c r="N103" s="256"/>
      <c r="P103" s="254">
        <v>92</v>
      </c>
      <c r="Q103" s="242"/>
      <c r="R103" s="243"/>
      <c r="S103" s="243"/>
      <c r="T103" s="243"/>
      <c r="U103" s="243"/>
      <c r="V103" s="243"/>
      <c r="W103" s="243"/>
      <c r="X103" s="243"/>
      <c r="Y103" s="243"/>
      <c r="Z103" s="243"/>
      <c r="AA103" s="243"/>
      <c r="AB103" s="243"/>
      <c r="AC103" s="256"/>
      <c r="AE103" s="254">
        <v>92</v>
      </c>
      <c r="AF103" s="242"/>
      <c r="AG103" s="243"/>
      <c r="AH103" s="243"/>
      <c r="AI103" s="243"/>
      <c r="AJ103" s="243"/>
      <c r="AK103" s="243"/>
      <c r="AL103" s="243"/>
      <c r="AM103" s="243"/>
      <c r="AN103" s="243"/>
      <c r="AO103" s="243"/>
      <c r="AP103" s="243"/>
      <c r="AQ103" s="243"/>
      <c r="AR103" s="256"/>
      <c r="AT103" s="254">
        <v>92</v>
      </c>
      <c r="AU103" s="242"/>
      <c r="AV103" s="243"/>
      <c r="AW103" s="243"/>
      <c r="AX103" s="243"/>
      <c r="AY103" s="243"/>
      <c r="AZ103" s="243"/>
      <c r="BA103" s="243"/>
      <c r="BB103" s="243"/>
      <c r="BC103" s="243"/>
      <c r="BD103" s="243"/>
      <c r="BE103" s="243"/>
      <c r="BF103" s="243"/>
      <c r="BG103" s="256"/>
    </row>
    <row r="104" spans="1:59">
      <c r="A104" s="254">
        <v>93</v>
      </c>
      <c r="B104" s="242"/>
      <c r="C104" s="243"/>
      <c r="D104" s="243"/>
      <c r="E104" s="243"/>
      <c r="F104" s="243"/>
      <c r="G104" s="243"/>
      <c r="H104" s="243"/>
      <c r="I104" s="243"/>
      <c r="J104" s="243"/>
      <c r="K104" s="243"/>
      <c r="L104" s="243"/>
      <c r="M104" s="243"/>
      <c r="N104" s="256"/>
      <c r="P104" s="254">
        <v>93</v>
      </c>
      <c r="Q104" s="242"/>
      <c r="R104" s="243"/>
      <c r="S104" s="243"/>
      <c r="T104" s="243"/>
      <c r="U104" s="243"/>
      <c r="V104" s="243"/>
      <c r="W104" s="243"/>
      <c r="X104" s="243"/>
      <c r="Y104" s="243"/>
      <c r="Z104" s="243"/>
      <c r="AA104" s="243"/>
      <c r="AB104" s="243"/>
      <c r="AC104" s="256"/>
      <c r="AE104" s="254">
        <v>93</v>
      </c>
      <c r="AF104" s="242"/>
      <c r="AG104" s="243"/>
      <c r="AH104" s="243"/>
      <c r="AI104" s="243"/>
      <c r="AJ104" s="243"/>
      <c r="AK104" s="243"/>
      <c r="AL104" s="243"/>
      <c r="AM104" s="243"/>
      <c r="AN104" s="243"/>
      <c r="AO104" s="243"/>
      <c r="AP104" s="243"/>
      <c r="AQ104" s="243"/>
      <c r="AR104" s="256"/>
      <c r="AT104" s="254">
        <v>93</v>
      </c>
      <c r="AU104" s="242"/>
      <c r="AV104" s="243"/>
      <c r="AW104" s="243"/>
      <c r="AX104" s="243"/>
      <c r="AY104" s="243"/>
      <c r="AZ104" s="243"/>
      <c r="BA104" s="243"/>
      <c r="BB104" s="243"/>
      <c r="BC104" s="243"/>
      <c r="BD104" s="243"/>
      <c r="BE104" s="243"/>
      <c r="BF104" s="243"/>
      <c r="BG104" s="256"/>
    </row>
    <row r="105" spans="1:59">
      <c r="A105" s="254">
        <v>94</v>
      </c>
      <c r="B105" s="242"/>
      <c r="C105" s="243"/>
      <c r="D105" s="243"/>
      <c r="E105" s="243"/>
      <c r="F105" s="243"/>
      <c r="G105" s="243"/>
      <c r="H105" s="243"/>
      <c r="I105" s="243"/>
      <c r="J105" s="243"/>
      <c r="K105" s="243"/>
      <c r="L105" s="243"/>
      <c r="M105" s="243"/>
      <c r="N105" s="256"/>
      <c r="P105" s="254">
        <v>94</v>
      </c>
      <c r="Q105" s="242"/>
      <c r="R105" s="243"/>
      <c r="S105" s="243"/>
      <c r="T105" s="243"/>
      <c r="U105" s="243"/>
      <c r="V105" s="243"/>
      <c r="W105" s="243"/>
      <c r="X105" s="243"/>
      <c r="Y105" s="243"/>
      <c r="Z105" s="243"/>
      <c r="AA105" s="243"/>
      <c r="AB105" s="243"/>
      <c r="AC105" s="256"/>
      <c r="AE105" s="254">
        <v>94</v>
      </c>
      <c r="AF105" s="242"/>
      <c r="AG105" s="243"/>
      <c r="AH105" s="243"/>
      <c r="AI105" s="243"/>
      <c r="AJ105" s="243"/>
      <c r="AK105" s="243"/>
      <c r="AL105" s="243"/>
      <c r="AM105" s="243"/>
      <c r="AN105" s="243"/>
      <c r="AO105" s="243"/>
      <c r="AP105" s="243"/>
      <c r="AQ105" s="243"/>
      <c r="AR105" s="256"/>
      <c r="AT105" s="254">
        <v>94</v>
      </c>
      <c r="AU105" s="242"/>
      <c r="AV105" s="243"/>
      <c r="AW105" s="243"/>
      <c r="AX105" s="243"/>
      <c r="AY105" s="243"/>
      <c r="AZ105" s="243"/>
      <c r="BA105" s="243"/>
      <c r="BB105" s="243"/>
      <c r="BC105" s="243"/>
      <c r="BD105" s="243"/>
      <c r="BE105" s="243"/>
      <c r="BF105" s="243"/>
      <c r="BG105" s="256"/>
    </row>
    <row r="106" spans="1:59">
      <c r="A106" s="254">
        <v>95</v>
      </c>
      <c r="B106" s="242"/>
      <c r="C106" s="243"/>
      <c r="D106" s="243"/>
      <c r="E106" s="243"/>
      <c r="F106" s="243"/>
      <c r="G106" s="243"/>
      <c r="H106" s="243"/>
      <c r="I106" s="243"/>
      <c r="J106" s="243"/>
      <c r="K106" s="243"/>
      <c r="L106" s="243"/>
      <c r="M106" s="243"/>
      <c r="N106" s="256"/>
      <c r="P106" s="254">
        <v>95</v>
      </c>
      <c r="Q106" s="242"/>
      <c r="R106" s="243"/>
      <c r="S106" s="243"/>
      <c r="T106" s="243"/>
      <c r="U106" s="243"/>
      <c r="V106" s="243"/>
      <c r="W106" s="243"/>
      <c r="X106" s="243"/>
      <c r="Y106" s="243"/>
      <c r="Z106" s="243"/>
      <c r="AA106" s="243"/>
      <c r="AB106" s="243"/>
      <c r="AC106" s="256"/>
      <c r="AE106" s="254">
        <v>95</v>
      </c>
      <c r="AF106" s="242"/>
      <c r="AG106" s="243"/>
      <c r="AH106" s="243"/>
      <c r="AI106" s="243"/>
      <c r="AJ106" s="243"/>
      <c r="AK106" s="243"/>
      <c r="AL106" s="243"/>
      <c r="AM106" s="243"/>
      <c r="AN106" s="243"/>
      <c r="AO106" s="243"/>
      <c r="AP106" s="243"/>
      <c r="AQ106" s="243"/>
      <c r="AR106" s="256"/>
      <c r="AT106" s="254">
        <v>95</v>
      </c>
      <c r="AU106" s="242"/>
      <c r="AV106" s="243"/>
      <c r="AW106" s="243"/>
      <c r="AX106" s="243"/>
      <c r="AY106" s="243"/>
      <c r="AZ106" s="243"/>
      <c r="BA106" s="243"/>
      <c r="BB106" s="243"/>
      <c r="BC106" s="243"/>
      <c r="BD106" s="243"/>
      <c r="BE106" s="243"/>
      <c r="BF106" s="243"/>
      <c r="BG106" s="256"/>
    </row>
    <row r="107" spans="1:59">
      <c r="A107" s="254">
        <v>96</v>
      </c>
      <c r="B107" s="242"/>
      <c r="C107" s="243"/>
      <c r="D107" s="243"/>
      <c r="E107" s="243"/>
      <c r="F107" s="243"/>
      <c r="G107" s="243"/>
      <c r="H107" s="243"/>
      <c r="I107" s="243"/>
      <c r="J107" s="243"/>
      <c r="K107" s="243"/>
      <c r="L107" s="243"/>
      <c r="M107" s="243"/>
      <c r="N107" s="256"/>
      <c r="P107" s="254">
        <v>96</v>
      </c>
      <c r="Q107" s="242"/>
      <c r="R107" s="243"/>
      <c r="S107" s="243"/>
      <c r="T107" s="243"/>
      <c r="U107" s="243"/>
      <c r="V107" s="243"/>
      <c r="W107" s="243"/>
      <c r="X107" s="243"/>
      <c r="Y107" s="243"/>
      <c r="Z107" s="243"/>
      <c r="AA107" s="243"/>
      <c r="AB107" s="243"/>
      <c r="AC107" s="256"/>
      <c r="AE107" s="254">
        <v>96</v>
      </c>
      <c r="AF107" s="242"/>
      <c r="AG107" s="243"/>
      <c r="AH107" s="243"/>
      <c r="AI107" s="243"/>
      <c r="AJ107" s="243"/>
      <c r="AK107" s="243"/>
      <c r="AL107" s="243"/>
      <c r="AM107" s="243"/>
      <c r="AN107" s="243"/>
      <c r="AO107" s="243"/>
      <c r="AP107" s="243"/>
      <c r="AQ107" s="243"/>
      <c r="AR107" s="256"/>
      <c r="AT107" s="254">
        <v>96</v>
      </c>
      <c r="AU107" s="242"/>
      <c r="AV107" s="243"/>
      <c r="AW107" s="243"/>
      <c r="AX107" s="243"/>
      <c r="AY107" s="243"/>
      <c r="AZ107" s="243"/>
      <c r="BA107" s="243"/>
      <c r="BB107" s="243"/>
      <c r="BC107" s="243"/>
      <c r="BD107" s="243"/>
      <c r="BE107" s="243"/>
      <c r="BF107" s="243"/>
      <c r="BG107" s="256"/>
    </row>
    <row r="108" spans="1:59">
      <c r="A108" s="254">
        <v>97</v>
      </c>
      <c r="B108" s="242"/>
      <c r="C108" s="243"/>
      <c r="D108" s="243"/>
      <c r="E108" s="243"/>
      <c r="F108" s="243"/>
      <c r="G108" s="243"/>
      <c r="H108" s="243"/>
      <c r="I108" s="243"/>
      <c r="J108" s="243"/>
      <c r="K108" s="243"/>
      <c r="L108" s="243"/>
      <c r="M108" s="243"/>
      <c r="N108" s="256"/>
      <c r="P108" s="254">
        <v>97</v>
      </c>
      <c r="Q108" s="242"/>
      <c r="R108" s="243"/>
      <c r="S108" s="243"/>
      <c r="T108" s="243"/>
      <c r="U108" s="243"/>
      <c r="V108" s="243"/>
      <c r="W108" s="243"/>
      <c r="X108" s="243"/>
      <c r="Y108" s="243"/>
      <c r="Z108" s="243"/>
      <c r="AA108" s="243"/>
      <c r="AB108" s="243"/>
      <c r="AC108" s="256"/>
      <c r="AE108" s="254">
        <v>97</v>
      </c>
      <c r="AF108" s="242"/>
      <c r="AG108" s="243"/>
      <c r="AH108" s="243"/>
      <c r="AI108" s="243"/>
      <c r="AJ108" s="243"/>
      <c r="AK108" s="243"/>
      <c r="AL108" s="243"/>
      <c r="AM108" s="243"/>
      <c r="AN108" s="243"/>
      <c r="AO108" s="243"/>
      <c r="AP108" s="243"/>
      <c r="AQ108" s="243"/>
      <c r="AR108" s="256"/>
      <c r="AT108" s="254">
        <v>97</v>
      </c>
      <c r="AU108" s="242"/>
      <c r="AV108" s="243"/>
      <c r="AW108" s="243"/>
      <c r="AX108" s="243"/>
      <c r="AY108" s="243"/>
      <c r="AZ108" s="243"/>
      <c r="BA108" s="243"/>
      <c r="BB108" s="243"/>
      <c r="BC108" s="243"/>
      <c r="BD108" s="243"/>
      <c r="BE108" s="243"/>
      <c r="BF108" s="243"/>
      <c r="BG108" s="256"/>
    </row>
    <row r="109" spans="1:59">
      <c r="A109" s="254">
        <v>98</v>
      </c>
      <c r="B109" s="242"/>
      <c r="C109" s="243"/>
      <c r="D109" s="243"/>
      <c r="E109" s="243"/>
      <c r="F109" s="243"/>
      <c r="G109" s="243"/>
      <c r="H109" s="243"/>
      <c r="I109" s="243"/>
      <c r="J109" s="243"/>
      <c r="K109" s="243"/>
      <c r="L109" s="243"/>
      <c r="M109" s="243"/>
      <c r="N109" s="256"/>
      <c r="P109" s="254">
        <v>98</v>
      </c>
      <c r="Q109" s="242"/>
      <c r="R109" s="243"/>
      <c r="S109" s="243"/>
      <c r="T109" s="243"/>
      <c r="U109" s="243"/>
      <c r="V109" s="243"/>
      <c r="W109" s="243"/>
      <c r="X109" s="243"/>
      <c r="Y109" s="243"/>
      <c r="Z109" s="243"/>
      <c r="AA109" s="243"/>
      <c r="AB109" s="243"/>
      <c r="AC109" s="256"/>
      <c r="AE109" s="254">
        <v>98</v>
      </c>
      <c r="AF109" s="242"/>
      <c r="AG109" s="243"/>
      <c r="AH109" s="243"/>
      <c r="AI109" s="243"/>
      <c r="AJ109" s="243"/>
      <c r="AK109" s="243"/>
      <c r="AL109" s="243"/>
      <c r="AM109" s="243"/>
      <c r="AN109" s="243"/>
      <c r="AO109" s="243"/>
      <c r="AP109" s="243"/>
      <c r="AQ109" s="243"/>
      <c r="AR109" s="256"/>
      <c r="AT109" s="254">
        <v>98</v>
      </c>
      <c r="AU109" s="242"/>
      <c r="AV109" s="243"/>
      <c r="AW109" s="243"/>
      <c r="AX109" s="243"/>
      <c r="AY109" s="243"/>
      <c r="AZ109" s="243"/>
      <c r="BA109" s="243"/>
      <c r="BB109" s="243"/>
      <c r="BC109" s="243"/>
      <c r="BD109" s="243"/>
      <c r="BE109" s="243"/>
      <c r="BF109" s="243"/>
      <c r="BG109" s="256"/>
    </row>
    <row r="110" spans="1:59">
      <c r="A110" s="254">
        <v>99</v>
      </c>
      <c r="B110" s="242"/>
      <c r="C110" s="243"/>
      <c r="D110" s="243"/>
      <c r="E110" s="243"/>
      <c r="F110" s="243"/>
      <c r="G110" s="243"/>
      <c r="H110" s="243"/>
      <c r="I110" s="243"/>
      <c r="J110" s="243"/>
      <c r="K110" s="243"/>
      <c r="L110" s="243"/>
      <c r="M110" s="243"/>
      <c r="N110" s="256"/>
      <c r="P110" s="254">
        <v>99</v>
      </c>
      <c r="Q110" s="242"/>
      <c r="R110" s="243"/>
      <c r="S110" s="243"/>
      <c r="T110" s="243"/>
      <c r="U110" s="243"/>
      <c r="V110" s="243"/>
      <c r="W110" s="243"/>
      <c r="X110" s="243"/>
      <c r="Y110" s="243"/>
      <c r="Z110" s="243"/>
      <c r="AA110" s="243"/>
      <c r="AB110" s="243"/>
      <c r="AC110" s="256"/>
      <c r="AE110" s="254">
        <v>99</v>
      </c>
      <c r="AF110" s="242"/>
      <c r="AG110" s="243"/>
      <c r="AH110" s="243"/>
      <c r="AI110" s="243"/>
      <c r="AJ110" s="243"/>
      <c r="AK110" s="243"/>
      <c r="AL110" s="243"/>
      <c r="AM110" s="243"/>
      <c r="AN110" s="243"/>
      <c r="AO110" s="243"/>
      <c r="AP110" s="243"/>
      <c r="AQ110" s="243"/>
      <c r="AR110" s="256"/>
      <c r="AT110" s="254">
        <v>99</v>
      </c>
      <c r="AU110" s="242"/>
      <c r="AV110" s="243"/>
      <c r="AW110" s="243"/>
      <c r="AX110" s="243"/>
      <c r="AY110" s="243"/>
      <c r="AZ110" s="243"/>
      <c r="BA110" s="243"/>
      <c r="BB110" s="243"/>
      <c r="BC110" s="243"/>
      <c r="BD110" s="243"/>
      <c r="BE110" s="243"/>
      <c r="BF110" s="243"/>
      <c r="BG110" s="256"/>
    </row>
    <row r="111" spans="1:59">
      <c r="A111" s="257">
        <v>100</v>
      </c>
      <c r="B111" s="248"/>
      <c r="C111" s="249"/>
      <c r="D111" s="249"/>
      <c r="E111" s="249"/>
      <c r="F111" s="249"/>
      <c r="G111" s="249"/>
      <c r="H111" s="249"/>
      <c r="I111" s="249"/>
      <c r="J111" s="249"/>
      <c r="K111" s="249"/>
      <c r="L111" s="249"/>
      <c r="M111" s="249"/>
      <c r="N111" s="258"/>
      <c r="P111" s="257">
        <v>100</v>
      </c>
      <c r="Q111" s="248"/>
      <c r="R111" s="249"/>
      <c r="S111" s="249"/>
      <c r="T111" s="249"/>
      <c r="U111" s="249"/>
      <c r="V111" s="249"/>
      <c r="W111" s="249"/>
      <c r="X111" s="249"/>
      <c r="Y111" s="249"/>
      <c r="Z111" s="249"/>
      <c r="AA111" s="249"/>
      <c r="AB111" s="249"/>
      <c r="AC111" s="258"/>
      <c r="AE111" s="257">
        <v>100</v>
      </c>
      <c r="AF111" s="248"/>
      <c r="AG111" s="249"/>
      <c r="AH111" s="249"/>
      <c r="AI111" s="249"/>
      <c r="AJ111" s="249"/>
      <c r="AK111" s="249"/>
      <c r="AL111" s="249"/>
      <c r="AM111" s="249"/>
      <c r="AN111" s="249"/>
      <c r="AO111" s="249"/>
      <c r="AP111" s="249"/>
      <c r="AQ111" s="249"/>
      <c r="AR111" s="258"/>
      <c r="AT111" s="257">
        <v>100</v>
      </c>
      <c r="AU111" s="248"/>
      <c r="AV111" s="249"/>
      <c r="AW111" s="249"/>
      <c r="AX111" s="249"/>
      <c r="AY111" s="249"/>
      <c r="AZ111" s="249"/>
      <c r="BA111" s="249"/>
      <c r="BB111" s="249"/>
      <c r="BC111" s="249"/>
      <c r="BD111" s="249"/>
      <c r="BE111" s="249"/>
      <c r="BF111" s="249"/>
      <c r="BG111" s="258"/>
    </row>
    <row r="112" spans="1:59" ht="13" thickBot="1">
      <c r="A112" s="259" t="s">
        <v>36</v>
      </c>
      <c r="B112" s="260">
        <f>SUM(B12:B111)</f>
        <v>0</v>
      </c>
      <c r="C112" s="261">
        <f t="shared" ref="C112:M112" si="0">SUM(C12:C111)</f>
        <v>0</v>
      </c>
      <c r="D112" s="261">
        <f t="shared" si="0"/>
        <v>0</v>
      </c>
      <c r="E112" s="261">
        <f t="shared" si="0"/>
        <v>0</v>
      </c>
      <c r="F112" s="261">
        <f t="shared" si="0"/>
        <v>0</v>
      </c>
      <c r="G112" s="261">
        <f t="shared" si="0"/>
        <v>0</v>
      </c>
      <c r="H112" s="261">
        <f t="shared" si="0"/>
        <v>0</v>
      </c>
      <c r="I112" s="261">
        <f t="shared" si="0"/>
        <v>0</v>
      </c>
      <c r="J112" s="261">
        <f t="shared" si="0"/>
        <v>0</v>
      </c>
      <c r="K112" s="261">
        <f t="shared" si="0"/>
        <v>0</v>
      </c>
      <c r="L112" s="261">
        <f t="shared" si="0"/>
        <v>0</v>
      </c>
      <c r="M112" s="261">
        <f t="shared" si="0"/>
        <v>0</v>
      </c>
      <c r="N112" s="262">
        <f>SUM(N12:N111)</f>
        <v>0</v>
      </c>
      <c r="O112" s="217"/>
      <c r="P112" s="259" t="s">
        <v>36</v>
      </c>
      <c r="Q112" s="260">
        <f>SUM(Q12:Q111)</f>
        <v>0</v>
      </c>
      <c r="R112" s="261">
        <f t="shared" ref="R112:AB112" si="1">SUM(R12:R111)</f>
        <v>0</v>
      </c>
      <c r="S112" s="261">
        <f t="shared" si="1"/>
        <v>0</v>
      </c>
      <c r="T112" s="261">
        <f t="shared" si="1"/>
        <v>0</v>
      </c>
      <c r="U112" s="261">
        <f t="shared" si="1"/>
        <v>0</v>
      </c>
      <c r="V112" s="261">
        <f t="shared" si="1"/>
        <v>0</v>
      </c>
      <c r="W112" s="261">
        <f t="shared" si="1"/>
        <v>0</v>
      </c>
      <c r="X112" s="261">
        <f t="shared" si="1"/>
        <v>0</v>
      </c>
      <c r="Y112" s="261">
        <f t="shared" si="1"/>
        <v>0</v>
      </c>
      <c r="Z112" s="261">
        <f t="shared" si="1"/>
        <v>0</v>
      </c>
      <c r="AA112" s="261">
        <f t="shared" si="1"/>
        <v>0</v>
      </c>
      <c r="AB112" s="261">
        <f t="shared" si="1"/>
        <v>0</v>
      </c>
      <c r="AC112" s="262">
        <f>SUM(AC12:AC111)</f>
        <v>0</v>
      </c>
      <c r="AE112" s="259" t="s">
        <v>36</v>
      </c>
      <c r="AF112" s="260">
        <f>SUM(AF12:AF111)</f>
        <v>0</v>
      </c>
      <c r="AG112" s="261">
        <f t="shared" ref="AG112:AQ112" si="2">SUM(AG12:AG111)</f>
        <v>0</v>
      </c>
      <c r="AH112" s="261">
        <f t="shared" si="2"/>
        <v>0</v>
      </c>
      <c r="AI112" s="261">
        <f t="shared" si="2"/>
        <v>0</v>
      </c>
      <c r="AJ112" s="261">
        <f t="shared" si="2"/>
        <v>0</v>
      </c>
      <c r="AK112" s="261">
        <f t="shared" si="2"/>
        <v>0</v>
      </c>
      <c r="AL112" s="261">
        <f t="shared" si="2"/>
        <v>0</v>
      </c>
      <c r="AM112" s="261">
        <f t="shared" si="2"/>
        <v>0</v>
      </c>
      <c r="AN112" s="261">
        <f t="shared" si="2"/>
        <v>0</v>
      </c>
      <c r="AO112" s="261">
        <f t="shared" si="2"/>
        <v>0</v>
      </c>
      <c r="AP112" s="261">
        <f t="shared" si="2"/>
        <v>0</v>
      </c>
      <c r="AQ112" s="261">
        <f t="shared" si="2"/>
        <v>0</v>
      </c>
      <c r="AR112" s="262">
        <f>SUM(AR12:AR111)</f>
        <v>0</v>
      </c>
      <c r="AT112" s="259" t="s">
        <v>36</v>
      </c>
      <c r="AU112" s="260">
        <f>SUM(AU12:AU111)</f>
        <v>0</v>
      </c>
      <c r="AV112" s="261">
        <f t="shared" ref="AV112:BF112" si="3">SUM(AV12:AV111)</f>
        <v>0</v>
      </c>
      <c r="AW112" s="261">
        <f t="shared" si="3"/>
        <v>0</v>
      </c>
      <c r="AX112" s="261">
        <f t="shared" si="3"/>
        <v>0</v>
      </c>
      <c r="AY112" s="261">
        <f t="shared" si="3"/>
        <v>0</v>
      </c>
      <c r="AZ112" s="261">
        <f t="shared" si="3"/>
        <v>0</v>
      </c>
      <c r="BA112" s="261">
        <f t="shared" si="3"/>
        <v>0</v>
      </c>
      <c r="BB112" s="261">
        <f t="shared" si="3"/>
        <v>0</v>
      </c>
      <c r="BC112" s="261">
        <f t="shared" si="3"/>
        <v>0</v>
      </c>
      <c r="BD112" s="261">
        <f t="shared" si="3"/>
        <v>0</v>
      </c>
      <c r="BE112" s="261">
        <f t="shared" si="3"/>
        <v>0</v>
      </c>
      <c r="BF112" s="261">
        <f t="shared" si="3"/>
        <v>0</v>
      </c>
      <c r="BG112" s="262">
        <f>SUM(BG12:BG111)</f>
        <v>0</v>
      </c>
    </row>
  </sheetData>
  <mergeCells count="12">
    <mergeCell ref="B3:D3"/>
    <mergeCell ref="B4:D4"/>
    <mergeCell ref="B5:D5"/>
    <mergeCell ref="G6:I6"/>
    <mergeCell ref="B9:N9"/>
    <mergeCell ref="AF9:AR9"/>
    <mergeCell ref="AU9:BG9"/>
    <mergeCell ref="B10:N10"/>
    <mergeCell ref="Q10:AC10"/>
    <mergeCell ref="AF10:AR10"/>
    <mergeCell ref="AU10:BG10"/>
    <mergeCell ref="Q9:AC9"/>
  </mergeCells>
  <phoneticPr fontId="3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38"/>
  <sheetViews>
    <sheetView zoomScale="90" zoomScaleNormal="90" workbookViewId="0">
      <selection activeCell="A2" sqref="A2"/>
    </sheetView>
  </sheetViews>
  <sheetFormatPr defaultColWidth="11.54296875" defaultRowHeight="13"/>
  <cols>
    <col min="1" max="1" width="9.1796875" style="2" customWidth="1"/>
    <col min="2" max="2" width="7.26953125" style="1" customWidth="1"/>
    <col min="3" max="3" width="17.1796875" bestFit="1" customWidth="1"/>
    <col min="4" max="5" width="9.453125" customWidth="1"/>
    <col min="6" max="6" width="16" bestFit="1" customWidth="1"/>
    <col min="7" max="8" width="9.453125" customWidth="1"/>
    <col min="9" max="9" width="17" customWidth="1"/>
    <col min="10" max="11" width="9.453125" customWidth="1"/>
    <col min="12" max="12" width="16" bestFit="1" customWidth="1"/>
    <col min="13" max="17" width="9.453125" customWidth="1"/>
    <col min="18" max="20" width="8.1796875" customWidth="1"/>
  </cols>
  <sheetData>
    <row r="1" spans="1:22" s="7" customFormat="1" ht="19.5" customHeight="1">
      <c r="A1" s="34" t="s">
        <v>62</v>
      </c>
      <c r="B1" s="9"/>
      <c r="C1" s="6"/>
      <c r="D1" s="6"/>
      <c r="E1" s="6"/>
      <c r="F1" s="6"/>
      <c r="G1" s="6"/>
      <c r="H1" s="94" t="s">
        <v>23</v>
      </c>
      <c r="I1" s="6"/>
      <c r="J1" s="6"/>
      <c r="K1" s="6"/>
      <c r="L1" s="6"/>
      <c r="M1" s="6"/>
      <c r="N1" s="6"/>
      <c r="O1" s="6"/>
      <c r="P1" s="6"/>
      <c r="Q1" s="6"/>
      <c r="R1" s="6"/>
      <c r="S1" s="6"/>
      <c r="T1" s="330"/>
      <c r="U1" s="330"/>
      <c r="V1" s="330"/>
    </row>
    <row r="2" spans="1:22" s="7" customFormat="1" ht="19.5" customHeight="1">
      <c r="A2" s="350" t="s">
        <v>143</v>
      </c>
      <c r="B2" s="9"/>
      <c r="C2" s="6"/>
      <c r="D2" s="6"/>
      <c r="E2" s="6"/>
      <c r="F2" s="6"/>
      <c r="G2" s="6"/>
      <c r="H2" s="95" t="s">
        <v>1</v>
      </c>
      <c r="I2" s="6"/>
      <c r="J2" s="6"/>
      <c r="K2" s="6"/>
      <c r="L2" s="6"/>
      <c r="M2" s="6"/>
      <c r="N2" s="6"/>
      <c r="O2" s="6"/>
      <c r="P2" s="6"/>
      <c r="Q2" s="6"/>
      <c r="R2" s="6"/>
      <c r="S2" s="6"/>
      <c r="T2" s="330"/>
      <c r="U2" s="330"/>
      <c r="V2" s="330"/>
    </row>
    <row r="3" spans="1:22" s="7" customFormat="1" ht="13.5" customHeight="1" thickBot="1">
      <c r="A3" s="87"/>
      <c r="B3" s="9"/>
      <c r="C3" s="6"/>
      <c r="D3" s="6"/>
      <c r="E3" s="6"/>
      <c r="F3" s="6"/>
      <c r="G3" s="6"/>
      <c r="H3" s="88"/>
      <c r="I3" s="6"/>
      <c r="J3" s="6"/>
      <c r="K3" s="6"/>
      <c r="L3" s="6"/>
      <c r="M3" s="96"/>
      <c r="N3" s="96"/>
      <c r="O3" s="6"/>
      <c r="P3" s="96"/>
      <c r="Q3" s="96"/>
      <c r="R3" s="96"/>
      <c r="S3" s="96"/>
      <c r="T3" s="331"/>
      <c r="U3" s="330"/>
      <c r="V3" s="330"/>
    </row>
    <row r="4" spans="1:22" s="7" customFormat="1" ht="19.5" customHeight="1">
      <c r="A4" s="8"/>
      <c r="B4" s="346" t="s">
        <v>135</v>
      </c>
      <c r="C4" s="147" t="str">
        <f>'START HERE'!F6</f>
        <v>Korea</v>
      </c>
      <c r="D4" s="164"/>
      <c r="E4" s="21"/>
      <c r="F4" s="6"/>
      <c r="G4" s="6"/>
      <c r="H4" s="215" t="s">
        <v>45</v>
      </c>
      <c r="I4" s="219" t="s">
        <v>85</v>
      </c>
      <c r="J4" s="97"/>
      <c r="K4" s="98"/>
      <c r="L4" s="6"/>
      <c r="M4" s="96"/>
      <c r="N4" s="96"/>
      <c r="O4" s="6"/>
      <c r="P4" s="96"/>
      <c r="Q4" s="96"/>
      <c r="R4" s="96"/>
      <c r="S4" s="96"/>
      <c r="T4" s="331"/>
      <c r="U4" s="330"/>
      <c r="V4" s="330"/>
    </row>
    <row r="5" spans="1:22" s="7" customFormat="1" ht="19.5" customHeight="1">
      <c r="A5" s="8"/>
      <c r="B5" s="13" t="s">
        <v>2</v>
      </c>
      <c r="C5" s="148" t="str">
        <f>'START HERE'!F5</f>
        <v>Jack mackerel</v>
      </c>
      <c r="D5" s="166"/>
      <c r="E5" s="22"/>
      <c r="F5" s="165"/>
      <c r="G5" s="165"/>
      <c r="H5" s="13"/>
      <c r="I5" s="344"/>
      <c r="J5" s="99"/>
      <c r="K5" s="100"/>
      <c r="L5" s="6"/>
      <c r="M5" s="96"/>
      <c r="N5" s="96"/>
      <c r="O5" s="6"/>
      <c r="P5" s="96"/>
      <c r="Q5" s="96"/>
      <c r="R5" s="96"/>
      <c r="S5" s="96"/>
      <c r="T5" s="331"/>
      <c r="U5" s="330"/>
      <c r="V5" s="330"/>
    </row>
    <row r="6" spans="1:22" s="7" customFormat="1" ht="18.75" customHeight="1" thickBot="1">
      <c r="A6" s="8"/>
      <c r="B6" s="13" t="s">
        <v>3</v>
      </c>
      <c r="C6" s="144">
        <f>'START HERE'!$K$3</f>
        <v>2018</v>
      </c>
      <c r="D6" s="145"/>
      <c r="E6" s="146"/>
      <c r="F6" s="6"/>
      <c r="G6" s="6"/>
      <c r="H6" s="13" t="s">
        <v>16</v>
      </c>
      <c r="I6" s="384">
        <f>'START HERE'!$F8</f>
        <v>42252</v>
      </c>
      <c r="J6" s="385"/>
      <c r="K6" s="149"/>
      <c r="L6" s="6"/>
      <c r="M6" s="96"/>
      <c r="N6" s="96"/>
      <c r="O6" s="6"/>
      <c r="P6" s="96"/>
      <c r="Q6" s="96"/>
      <c r="R6" s="96"/>
      <c r="S6" s="96"/>
      <c r="T6" s="331"/>
      <c r="U6" s="330"/>
      <c r="V6" s="330"/>
    </row>
    <row r="7" spans="1:22" s="7" customFormat="1" ht="13.5" customHeight="1" thickBot="1">
      <c r="A7" s="8"/>
      <c r="B7" s="9"/>
      <c r="C7" s="6"/>
      <c r="D7" s="6"/>
      <c r="E7" s="6"/>
      <c r="F7" s="6"/>
      <c r="G7" s="6"/>
      <c r="H7" s="6"/>
      <c r="I7" s="6"/>
      <c r="J7" s="6"/>
      <c r="K7" s="6"/>
      <c r="L7" s="6"/>
      <c r="M7" s="6"/>
      <c r="N7" s="6"/>
      <c r="O7" s="6"/>
      <c r="P7" s="6"/>
      <c r="Q7" s="6"/>
      <c r="R7" s="6"/>
      <c r="S7" s="6"/>
      <c r="T7" s="330"/>
      <c r="U7" s="330"/>
      <c r="V7" s="330"/>
    </row>
    <row r="8" spans="1:22" s="89" customFormat="1" ht="18" customHeight="1" thickBot="1">
      <c r="A8" s="119"/>
      <c r="B8" s="120"/>
      <c r="C8" s="408" t="s">
        <v>61</v>
      </c>
      <c r="D8" s="409"/>
      <c r="E8" s="118"/>
      <c r="F8" s="194" t="s">
        <v>37</v>
      </c>
      <c r="G8" s="117"/>
      <c r="H8" s="118"/>
      <c r="I8" s="194" t="s">
        <v>38</v>
      </c>
      <c r="J8" s="117"/>
      <c r="K8" s="118"/>
      <c r="L8" s="194" t="s">
        <v>39</v>
      </c>
      <c r="M8" s="117"/>
      <c r="N8" s="118"/>
      <c r="O8" s="116" t="s">
        <v>48</v>
      </c>
      <c r="P8" s="117"/>
      <c r="Q8" s="118"/>
      <c r="R8" s="122"/>
      <c r="S8" s="122"/>
    </row>
    <row r="9" spans="1:22" s="7" customFormat="1" ht="13.5" customHeight="1" thickBot="1">
      <c r="A9" s="152"/>
      <c r="B9" s="152"/>
      <c r="C9" s="17" t="s">
        <v>4</v>
      </c>
      <c r="D9" s="153" t="s">
        <v>5</v>
      </c>
      <c r="E9" s="16" t="s">
        <v>5</v>
      </c>
      <c r="F9" s="17" t="s">
        <v>4</v>
      </c>
      <c r="G9" s="15" t="s">
        <v>5</v>
      </c>
      <c r="H9" s="16" t="s">
        <v>5</v>
      </c>
      <c r="I9" s="17" t="s">
        <v>4</v>
      </c>
      <c r="J9" s="15" t="s">
        <v>5</v>
      </c>
      <c r="K9" s="16" t="s">
        <v>5</v>
      </c>
      <c r="L9" s="17" t="s">
        <v>4</v>
      </c>
      <c r="M9" s="15" t="s">
        <v>5</v>
      </c>
      <c r="N9" s="16" t="s">
        <v>5</v>
      </c>
      <c r="O9" s="17" t="s">
        <v>4</v>
      </c>
      <c r="P9" s="15" t="s">
        <v>5</v>
      </c>
      <c r="Q9" s="16" t="s">
        <v>5</v>
      </c>
      <c r="R9" s="6"/>
      <c r="S9" s="6"/>
    </row>
    <row r="10" spans="1:22" s="7" customFormat="1" ht="13.5" customHeight="1">
      <c r="A10" s="14"/>
      <c r="B10" s="214" t="s">
        <v>90</v>
      </c>
      <c r="C10" s="20" t="s">
        <v>6</v>
      </c>
      <c r="D10" s="18" t="s">
        <v>47</v>
      </c>
      <c r="E10" s="19" t="s">
        <v>7</v>
      </c>
      <c r="F10" s="20" t="s">
        <v>6</v>
      </c>
      <c r="G10" s="18" t="s">
        <v>47</v>
      </c>
      <c r="H10" s="19" t="s">
        <v>7</v>
      </c>
      <c r="I10" s="20" t="s">
        <v>6</v>
      </c>
      <c r="J10" s="18" t="s">
        <v>47</v>
      </c>
      <c r="K10" s="19" t="s">
        <v>7</v>
      </c>
      <c r="L10" s="20" t="s">
        <v>6</v>
      </c>
      <c r="M10" s="18" t="s">
        <v>47</v>
      </c>
      <c r="N10" s="19" t="s">
        <v>7</v>
      </c>
      <c r="O10" s="20" t="s">
        <v>6</v>
      </c>
      <c r="P10" s="18" t="s">
        <v>47</v>
      </c>
      <c r="Q10" s="19" t="s">
        <v>7</v>
      </c>
      <c r="R10" s="6"/>
      <c r="S10" s="6"/>
    </row>
    <row r="11" spans="1:22" s="7" customFormat="1" ht="15" customHeight="1" thickBot="1">
      <c r="A11" s="151"/>
      <c r="B11" s="102"/>
      <c r="C11" s="103" t="s">
        <v>132</v>
      </c>
      <c r="D11" s="101" t="s">
        <v>49</v>
      </c>
      <c r="E11" s="102" t="s">
        <v>58</v>
      </c>
      <c r="F11" s="103" t="s">
        <v>132</v>
      </c>
      <c r="G11" s="101" t="s">
        <v>49</v>
      </c>
      <c r="H11" s="102" t="s">
        <v>58</v>
      </c>
      <c r="I11" s="103" t="s">
        <v>132</v>
      </c>
      <c r="J11" s="101" t="s">
        <v>49</v>
      </c>
      <c r="K11" s="102" t="s">
        <v>58</v>
      </c>
      <c r="L11" s="103" t="s">
        <v>132</v>
      </c>
      <c r="M11" s="101" t="s">
        <v>49</v>
      </c>
      <c r="N11" s="102" t="s">
        <v>58</v>
      </c>
      <c r="O11" s="103" t="s">
        <v>132</v>
      </c>
      <c r="P11" s="101" t="s">
        <v>49</v>
      </c>
      <c r="Q11" s="102" t="s">
        <v>8</v>
      </c>
      <c r="R11" s="6"/>
      <c r="S11" s="6"/>
    </row>
    <row r="12" spans="1:22" s="7" customFormat="1" ht="15" customHeight="1">
      <c r="A12" s="154"/>
      <c r="B12" s="104" t="s">
        <v>9</v>
      </c>
      <c r="C12" s="105"/>
      <c r="D12" s="106"/>
      <c r="E12" s="206"/>
      <c r="F12" s="105"/>
      <c r="G12" s="106"/>
      <c r="H12" s="206"/>
      <c r="I12" s="105"/>
      <c r="J12" s="106"/>
      <c r="K12" s="206"/>
      <c r="L12" s="105"/>
      <c r="M12" s="106"/>
      <c r="N12" s="206"/>
      <c r="O12" s="107">
        <f t="shared" ref="O12:O20" si="0">SUM(C12+F12+I12+L12)</f>
        <v>0</v>
      </c>
      <c r="P12" s="108" t="str">
        <f t="shared" ref="P12:P20" si="1">IF(SUM(D12+G12+J12+M12)&gt;0,(C12*D12+F12*G12+I12*J12+L12*M12)/SUM(C12+F12+I12+L12),"")</f>
        <v/>
      </c>
      <c r="Q12" s="208" t="str">
        <f t="shared" ref="Q12:Q20" si="2">IF(SUM(E12,H12,K12,N12)&gt;0,SUM(C12*E12+F12*H12+I12*K12+L12*N12)/SUM(C12+F12+I12+L12),"")</f>
        <v/>
      </c>
      <c r="R12" s="6"/>
      <c r="S12" s="6"/>
    </row>
    <row r="13" spans="1:22" s="7" customFormat="1" ht="15" customHeight="1">
      <c r="A13" s="154"/>
      <c r="B13" s="104" t="s">
        <v>50</v>
      </c>
      <c r="C13" s="109"/>
      <c r="D13" s="110"/>
      <c r="E13" s="207"/>
      <c r="F13" s="109"/>
      <c r="G13" s="110"/>
      <c r="H13" s="207"/>
      <c r="I13" s="109"/>
      <c r="J13" s="110"/>
      <c r="K13" s="207"/>
      <c r="L13" s="109"/>
      <c r="M13" s="110"/>
      <c r="N13" s="207"/>
      <c r="O13" s="107">
        <f t="shared" si="0"/>
        <v>0</v>
      </c>
      <c r="P13" s="108" t="str">
        <f t="shared" si="1"/>
        <v/>
      </c>
      <c r="Q13" s="208" t="str">
        <f t="shared" si="2"/>
        <v/>
      </c>
      <c r="R13" s="6"/>
      <c r="S13" s="6"/>
    </row>
    <row r="14" spans="1:22" s="7" customFormat="1" ht="15" customHeight="1">
      <c r="A14" s="154"/>
      <c r="B14" s="104" t="s">
        <v>51</v>
      </c>
      <c r="C14" s="109"/>
      <c r="D14" s="110"/>
      <c r="E14" s="207"/>
      <c r="F14" s="109"/>
      <c r="G14" s="110"/>
      <c r="H14" s="207"/>
      <c r="I14" s="109"/>
      <c r="J14" s="110"/>
      <c r="K14" s="207"/>
      <c r="L14" s="109"/>
      <c r="M14" s="110"/>
      <c r="N14" s="207"/>
      <c r="O14" s="107">
        <f t="shared" si="0"/>
        <v>0</v>
      </c>
      <c r="P14" s="108" t="str">
        <f t="shared" si="1"/>
        <v/>
      </c>
      <c r="Q14" s="208" t="str">
        <f t="shared" si="2"/>
        <v/>
      </c>
      <c r="R14" s="6"/>
      <c r="S14" s="6"/>
    </row>
    <row r="15" spans="1:22" s="7" customFormat="1" ht="15" customHeight="1">
      <c r="A15" s="154"/>
      <c r="B15" s="104" t="s">
        <v>52</v>
      </c>
      <c r="C15" s="109"/>
      <c r="D15" s="110"/>
      <c r="E15" s="207"/>
      <c r="F15" s="109"/>
      <c r="G15" s="110"/>
      <c r="H15" s="207"/>
      <c r="I15" s="109"/>
      <c r="J15" s="110"/>
      <c r="K15" s="207"/>
      <c r="L15" s="109"/>
      <c r="M15" s="110"/>
      <c r="N15" s="207"/>
      <c r="O15" s="107">
        <f t="shared" si="0"/>
        <v>0</v>
      </c>
      <c r="P15" s="108" t="str">
        <f t="shared" si="1"/>
        <v/>
      </c>
      <c r="Q15" s="208" t="str">
        <f t="shared" si="2"/>
        <v/>
      </c>
      <c r="R15" s="6"/>
      <c r="S15" s="6"/>
    </row>
    <row r="16" spans="1:22" s="7" customFormat="1" ht="15" customHeight="1">
      <c r="A16" s="154"/>
      <c r="B16" s="104" t="s">
        <v>53</v>
      </c>
      <c r="C16" s="109"/>
      <c r="D16" s="110"/>
      <c r="E16" s="207"/>
      <c r="F16" s="109"/>
      <c r="G16" s="110"/>
      <c r="H16" s="207"/>
      <c r="I16" s="109"/>
      <c r="J16" s="110"/>
      <c r="K16" s="207"/>
      <c r="L16" s="109"/>
      <c r="M16" s="110"/>
      <c r="N16" s="207"/>
      <c r="O16" s="107">
        <f t="shared" si="0"/>
        <v>0</v>
      </c>
      <c r="P16" s="108" t="str">
        <f t="shared" si="1"/>
        <v/>
      </c>
      <c r="Q16" s="208" t="str">
        <f t="shared" si="2"/>
        <v/>
      </c>
      <c r="R16" s="6"/>
      <c r="S16" s="6"/>
    </row>
    <row r="17" spans="1:33" s="7" customFormat="1" ht="15" customHeight="1">
      <c r="A17" s="154"/>
      <c r="B17" s="104" t="s">
        <v>10</v>
      </c>
      <c r="C17" s="109"/>
      <c r="D17" s="110"/>
      <c r="E17" s="207"/>
      <c r="F17" s="109"/>
      <c r="G17" s="110"/>
      <c r="H17" s="207"/>
      <c r="I17" s="109"/>
      <c r="J17" s="110"/>
      <c r="K17" s="207"/>
      <c r="L17" s="109"/>
      <c r="M17" s="110"/>
      <c r="N17" s="207"/>
      <c r="O17" s="107">
        <f t="shared" si="0"/>
        <v>0</v>
      </c>
      <c r="P17" s="108" t="str">
        <f t="shared" si="1"/>
        <v/>
      </c>
      <c r="Q17" s="208" t="str">
        <f t="shared" si="2"/>
        <v/>
      </c>
      <c r="R17" s="6"/>
      <c r="S17" s="6"/>
    </row>
    <row r="18" spans="1:33" s="7" customFormat="1" ht="15" customHeight="1">
      <c r="A18" s="154"/>
      <c r="B18" s="104" t="s">
        <v>11</v>
      </c>
      <c r="C18" s="109"/>
      <c r="D18" s="110"/>
      <c r="E18" s="207"/>
      <c r="F18" s="109"/>
      <c r="G18" s="110"/>
      <c r="H18" s="207"/>
      <c r="I18" s="109"/>
      <c r="J18" s="110"/>
      <c r="K18" s="207"/>
      <c r="L18" s="109"/>
      <c r="M18" s="110"/>
      <c r="N18" s="207"/>
      <c r="O18" s="107">
        <f t="shared" si="0"/>
        <v>0</v>
      </c>
      <c r="P18" s="108" t="str">
        <f t="shared" si="1"/>
        <v/>
      </c>
      <c r="Q18" s="208" t="str">
        <f t="shared" si="2"/>
        <v/>
      </c>
      <c r="R18" s="6"/>
      <c r="S18" s="6"/>
    </row>
    <row r="19" spans="1:33" s="7" customFormat="1" ht="15" customHeight="1">
      <c r="A19" s="154"/>
      <c r="B19" s="104" t="s">
        <v>12</v>
      </c>
      <c r="C19" s="109"/>
      <c r="D19" s="110"/>
      <c r="E19" s="207"/>
      <c r="F19" s="109"/>
      <c r="G19" s="110"/>
      <c r="H19" s="207"/>
      <c r="I19" s="109"/>
      <c r="J19" s="110"/>
      <c r="K19" s="207"/>
      <c r="L19" s="109"/>
      <c r="M19" s="110"/>
      <c r="N19" s="207"/>
      <c r="O19" s="107">
        <f t="shared" si="0"/>
        <v>0</v>
      </c>
      <c r="P19" s="108" t="str">
        <f t="shared" si="1"/>
        <v/>
      </c>
      <c r="Q19" s="208" t="str">
        <f t="shared" si="2"/>
        <v/>
      </c>
      <c r="R19" s="6"/>
      <c r="S19" s="6"/>
    </row>
    <row r="20" spans="1:33" s="7" customFormat="1" ht="15" customHeight="1">
      <c r="A20" s="154"/>
      <c r="B20" s="104" t="s">
        <v>13</v>
      </c>
      <c r="C20" s="109"/>
      <c r="D20" s="110"/>
      <c r="E20" s="207"/>
      <c r="F20" s="109"/>
      <c r="G20" s="110"/>
      <c r="H20" s="207"/>
      <c r="I20" s="109"/>
      <c r="J20" s="110"/>
      <c r="K20" s="207"/>
      <c r="L20" s="109"/>
      <c r="M20" s="110"/>
      <c r="N20" s="207"/>
      <c r="O20" s="107">
        <f t="shared" si="0"/>
        <v>0</v>
      </c>
      <c r="P20" s="108" t="str">
        <f t="shared" si="1"/>
        <v/>
      </c>
      <c r="Q20" s="208" t="str">
        <f t="shared" si="2"/>
        <v/>
      </c>
      <c r="R20" s="6"/>
      <c r="S20" s="6"/>
    </row>
    <row r="21" spans="1:33" s="7" customFormat="1" ht="15" customHeight="1">
      <c r="A21" s="154"/>
      <c r="B21" s="104">
        <v>9</v>
      </c>
      <c r="C21" s="109"/>
      <c r="D21" s="110"/>
      <c r="E21" s="207"/>
      <c r="F21" s="109"/>
      <c r="G21" s="110"/>
      <c r="H21" s="207"/>
      <c r="I21" s="109"/>
      <c r="J21" s="110"/>
      <c r="K21" s="207"/>
      <c r="L21" s="109"/>
      <c r="M21" s="110"/>
      <c r="N21" s="207"/>
      <c r="O21" s="107"/>
      <c r="P21" s="108"/>
      <c r="Q21" s="208"/>
      <c r="R21" s="6"/>
      <c r="S21" s="6"/>
    </row>
    <row r="22" spans="1:33" s="7" customFormat="1" ht="15" customHeight="1">
      <c r="A22" s="154"/>
      <c r="B22" s="104">
        <v>10</v>
      </c>
      <c r="C22" s="109"/>
      <c r="D22" s="110"/>
      <c r="E22" s="207"/>
      <c r="F22" s="109"/>
      <c r="G22" s="110"/>
      <c r="H22" s="207"/>
      <c r="I22" s="109"/>
      <c r="J22" s="110"/>
      <c r="K22" s="207"/>
      <c r="L22" s="109"/>
      <c r="M22" s="110"/>
      <c r="N22" s="207"/>
      <c r="O22" s="107"/>
      <c r="P22" s="108"/>
      <c r="Q22" s="208"/>
      <c r="R22" s="6"/>
      <c r="S22" s="6"/>
    </row>
    <row r="23" spans="1:33" s="7" customFormat="1" ht="15" customHeight="1">
      <c r="A23" s="154"/>
      <c r="B23" s="104">
        <v>11</v>
      </c>
      <c r="C23" s="109"/>
      <c r="D23" s="110"/>
      <c r="E23" s="207"/>
      <c r="F23" s="109"/>
      <c r="G23" s="110"/>
      <c r="H23" s="207"/>
      <c r="I23" s="109"/>
      <c r="J23" s="110"/>
      <c r="K23" s="207"/>
      <c r="L23" s="109"/>
      <c r="M23" s="110"/>
      <c r="N23" s="207"/>
      <c r="O23" s="107"/>
      <c r="P23" s="108"/>
      <c r="Q23" s="208"/>
      <c r="R23" s="6"/>
      <c r="S23" s="6"/>
    </row>
    <row r="24" spans="1:33" s="7" customFormat="1" ht="15" customHeight="1" thickBot="1">
      <c r="A24" s="195" t="s">
        <v>14</v>
      </c>
      <c r="B24" s="104" t="s">
        <v>91</v>
      </c>
      <c r="C24" s="109"/>
      <c r="D24" s="110"/>
      <c r="E24" s="207"/>
      <c r="F24" s="109"/>
      <c r="G24" s="110"/>
      <c r="H24" s="207"/>
      <c r="I24" s="109"/>
      <c r="J24" s="110"/>
      <c r="K24" s="207"/>
      <c r="L24" s="109"/>
      <c r="M24" s="110"/>
      <c r="N24" s="207"/>
      <c r="O24" s="107">
        <f>SUM(C24+F24+I24+L24)</f>
        <v>0</v>
      </c>
      <c r="P24" s="108" t="str">
        <f>IF(SUM(D24+G24+J24+M24)&gt;0,(C24*D24+F24*G24+I24*J24+L24*M24)/SUM(C24+F24+I24+L24),"")</f>
        <v/>
      </c>
      <c r="Q24" s="208" t="str">
        <f>IF(SUM(E24,H24,K24,N24)&gt;0,SUM(C24*E24+F24*H24+I24*K24+L24*N24)/SUM(C24+F24+I24+L24),"")</f>
        <v/>
      </c>
      <c r="R24" s="6"/>
      <c r="S24" s="6"/>
    </row>
    <row r="25" spans="1:33" s="7" customFormat="1" ht="15" customHeight="1" thickBot="1">
      <c r="A25" s="5"/>
      <c r="B25" s="163" t="s">
        <v>24</v>
      </c>
      <c r="C25" s="80" t="str">
        <f>IF(SUM(C12:C24)&gt;0,SUM(C12:C24),"na")</f>
        <v>na</v>
      </c>
      <c r="D25" s="23" t="str">
        <f>IF(SUM(D12:D24)&gt;0,SUMPRODUCT(C12:C24,D12:D24)/C25,"na")</f>
        <v>na</v>
      </c>
      <c r="E25" s="210" t="str">
        <f>IF(SUM(E12:E24)&gt;0,SUMPRODUCT(C12:C24,E12:E24)/C25,"na")</f>
        <v>na</v>
      </c>
      <c r="F25" s="80" t="str">
        <f>IF(SUM(F12:F24)&gt;0,SUM(F12:F24),"na")</f>
        <v>na</v>
      </c>
      <c r="G25" s="23" t="str">
        <f>IF(SUM(G12:G24)&gt;0,SUMPRODUCT(F12:F24,G12:G24)/F25,"na")</f>
        <v>na</v>
      </c>
      <c r="H25" s="24" t="str">
        <f>IF(SUM(H12:H24)&gt;0,SUMPRODUCT(F12:F24,H12:H24)/F25,"na")</f>
        <v>na</v>
      </c>
      <c r="I25" s="80" t="str">
        <f>IF(SUM(I12:I24)&gt;0,SUM(I12:I24),"na")</f>
        <v>na</v>
      </c>
      <c r="J25" s="23" t="str">
        <f>IF(SUM(J12:J24)&gt;0,SUMPRODUCT(I12:I24,J12:J24)/I25,"na")</f>
        <v>na</v>
      </c>
      <c r="K25" s="210" t="str">
        <f>IF(SUM(K12:K24)&gt;0,SUMPRODUCT(I12:I24,K12:K24)/I25,"na")</f>
        <v>na</v>
      </c>
      <c r="L25" s="80" t="str">
        <f>IF(SUM(L12:L24)&gt;0,SUM(L12:L24),"na")</f>
        <v>na</v>
      </c>
      <c r="M25" s="23" t="str">
        <f>IF(SUM(M12:M24)&gt;0,SUMPRODUCT(L12:L24,M12:M24)/L25,"na")</f>
        <v>na</v>
      </c>
      <c r="N25" s="24" t="str">
        <f>IF(SUM(N12:N24)&gt;0,SUMPRODUCT(L12:L24,N12:N24)/L25,"na")</f>
        <v>na</v>
      </c>
      <c r="O25" s="80" t="str">
        <f>IF(SUM(O12:O24)&gt;0,SUM(O12:O24),"na")</f>
        <v>na</v>
      </c>
      <c r="P25" s="23" t="str">
        <f>IF(SUM(P12:P24)&gt;0,SUMPRODUCT(O12:O24,P12:P24)/O25,"na")</f>
        <v>na</v>
      </c>
      <c r="Q25" s="25" t="str">
        <f>IF(SUM(Q12:Q24)&gt;0,SUMPRODUCT(O12:O24,Q12:Q24)/O25,"na")</f>
        <v>na</v>
      </c>
      <c r="R25" s="6"/>
      <c r="S25" s="6"/>
    </row>
    <row r="26" spans="1:33" s="121" customFormat="1" ht="6.75" customHeight="1" thickBot="1">
      <c r="A26" s="4"/>
      <c r="B26" s="4"/>
      <c r="C26" s="131"/>
      <c r="D26" s="132"/>
      <c r="E26" s="133"/>
      <c r="F26" s="139"/>
      <c r="G26" s="140"/>
      <c r="H26" s="133"/>
      <c r="I26" s="139"/>
      <c r="J26" s="140"/>
      <c r="K26" s="133"/>
      <c r="L26" s="139"/>
      <c r="M26" s="140"/>
      <c r="N26" s="133"/>
      <c r="O26" s="139"/>
      <c r="P26" s="141"/>
      <c r="Q26" s="142"/>
      <c r="R26" s="42"/>
      <c r="S26" s="42"/>
    </row>
    <row r="27" spans="1:33" s="7" customFormat="1" ht="13.5" customHeight="1">
      <c r="A27" s="4"/>
      <c r="B27" s="4"/>
      <c r="C27" s="134" t="s">
        <v>144</v>
      </c>
      <c r="D27" s="203"/>
      <c r="E27" s="135" t="s">
        <v>26</v>
      </c>
      <c r="F27" s="134" t="s">
        <v>144</v>
      </c>
      <c r="G27" s="203"/>
      <c r="H27" s="135" t="s">
        <v>26</v>
      </c>
      <c r="I27" s="134" t="s">
        <v>144</v>
      </c>
      <c r="J27" s="203"/>
      <c r="K27" s="135" t="s">
        <v>26</v>
      </c>
      <c r="L27" s="134" t="s">
        <v>144</v>
      </c>
      <c r="M27" s="203"/>
      <c r="N27" s="135" t="s">
        <v>26</v>
      </c>
      <c r="O27" s="134" t="s">
        <v>25</v>
      </c>
      <c r="P27" s="111">
        <f>SUM(M27,J27,G27,D27)</f>
        <v>0</v>
      </c>
      <c r="Q27" s="135" t="s">
        <v>26</v>
      </c>
      <c r="R27" s="6"/>
      <c r="S27" s="6"/>
    </row>
    <row r="28" spans="1:33" s="7" customFormat="1" ht="13.5" customHeight="1">
      <c r="A28" s="8"/>
      <c r="B28" s="4"/>
      <c r="C28" s="134" t="s">
        <v>27</v>
      </c>
      <c r="D28" s="112" t="str">
        <f>IF(SUM(E12:E24)&gt;0,(C25*E25),"na")</f>
        <v>na</v>
      </c>
      <c r="E28" s="135" t="s">
        <v>26</v>
      </c>
      <c r="F28" s="134" t="s">
        <v>27</v>
      </c>
      <c r="G28" s="112" t="str">
        <f>IF(SUM(H12:H24)&gt;0,(F25*H25),"na")</f>
        <v>na</v>
      </c>
      <c r="H28" s="135" t="s">
        <v>26</v>
      </c>
      <c r="I28" s="134" t="s">
        <v>27</v>
      </c>
      <c r="J28" s="112" t="str">
        <f>IF(SUM(K12:K24)&gt;0,(I25*K25),"na")</f>
        <v>na</v>
      </c>
      <c r="K28" s="135" t="s">
        <v>26</v>
      </c>
      <c r="L28" s="134" t="s">
        <v>27</v>
      </c>
      <c r="M28" s="112" t="str">
        <f>IF(SUM(N12:N24)&gt;0,(L25*N25),"na")</f>
        <v>na</v>
      </c>
      <c r="N28" s="135" t="s">
        <v>26</v>
      </c>
      <c r="O28" s="134" t="s">
        <v>27</v>
      </c>
      <c r="P28" s="112" t="str">
        <f>IF(SUM(Q12:Q24)&gt;0,(O25*Q25),"na")</f>
        <v>na</v>
      </c>
      <c r="Q28" s="135" t="s">
        <v>26</v>
      </c>
      <c r="R28" s="6"/>
      <c r="S28" s="6"/>
      <c r="T28" s="330"/>
      <c r="U28" s="330"/>
      <c r="V28" s="330"/>
      <c r="W28" s="330"/>
      <c r="X28" s="330"/>
      <c r="Y28" s="330"/>
      <c r="Z28" s="330"/>
      <c r="AA28" s="330"/>
      <c r="AB28" s="330"/>
      <c r="AC28" s="330"/>
      <c r="AD28" s="330"/>
      <c r="AE28" s="330"/>
      <c r="AF28" s="330"/>
      <c r="AG28" s="330"/>
    </row>
    <row r="29" spans="1:33" s="7" customFormat="1" ht="13.5" customHeight="1" thickBot="1">
      <c r="A29" s="8"/>
      <c r="B29" s="4"/>
      <c r="C29" s="134" t="s">
        <v>27</v>
      </c>
      <c r="D29" s="113" t="str">
        <f>IF(SUM(E12:E24)&gt;0,D28/D27,"na")</f>
        <v>na</v>
      </c>
      <c r="E29" s="136" t="s">
        <v>28</v>
      </c>
      <c r="F29" s="134" t="s">
        <v>27</v>
      </c>
      <c r="G29" s="113" t="str">
        <f>IF(SUM(H12:H24)&gt;0,G28/G27,"na")</f>
        <v>na</v>
      </c>
      <c r="H29" s="136" t="s">
        <v>28</v>
      </c>
      <c r="I29" s="134" t="s">
        <v>27</v>
      </c>
      <c r="J29" s="113" t="str">
        <f>IF(SUM(K12:K24)&gt;0,J28/J27,"na")</f>
        <v>na</v>
      </c>
      <c r="K29" s="136" t="s">
        <v>28</v>
      </c>
      <c r="L29" s="134" t="s">
        <v>27</v>
      </c>
      <c r="M29" s="113" t="str">
        <f>IF(SUM(N12:N24)&gt;0,M28/M27,"na")</f>
        <v>na</v>
      </c>
      <c r="N29" s="136" t="s">
        <v>28</v>
      </c>
      <c r="O29" s="134" t="s">
        <v>27</v>
      </c>
      <c r="P29" s="113" t="str">
        <f>IF(SUM(Q12:Q24)&gt;0,P28/P27,"na")</f>
        <v>na</v>
      </c>
      <c r="Q29" s="136" t="s">
        <v>28</v>
      </c>
      <c r="R29" s="6"/>
      <c r="S29" s="6"/>
      <c r="T29" s="330"/>
      <c r="U29" s="330"/>
      <c r="V29" s="330"/>
      <c r="W29" s="330"/>
      <c r="X29" s="330"/>
      <c r="Y29" s="330"/>
      <c r="Z29" s="330"/>
      <c r="AA29" s="330"/>
      <c r="AB29" s="330"/>
      <c r="AC29" s="330"/>
      <c r="AD29" s="330"/>
      <c r="AE29" s="330"/>
      <c r="AF29" s="330"/>
      <c r="AG29" s="330"/>
    </row>
    <row r="30" spans="1:33" s="6" customFormat="1" ht="6" customHeight="1" thickBot="1">
      <c r="A30" s="8"/>
      <c r="B30" s="4"/>
      <c r="C30" s="137"/>
      <c r="D30" s="36"/>
      <c r="E30" s="136"/>
      <c r="F30" s="137"/>
      <c r="G30" s="36"/>
      <c r="H30" s="136"/>
      <c r="I30" s="137"/>
      <c r="J30" s="36"/>
      <c r="K30" s="136"/>
      <c r="L30" s="137"/>
      <c r="M30" s="36"/>
      <c r="N30" s="136"/>
      <c r="O30" s="137"/>
      <c r="P30" s="36"/>
      <c r="Q30" s="136"/>
      <c r="T30" s="330"/>
      <c r="U30" s="330"/>
      <c r="V30" s="330"/>
      <c r="W30" s="330"/>
      <c r="X30" s="330"/>
      <c r="Y30" s="330"/>
      <c r="Z30" s="330"/>
      <c r="AA30" s="330"/>
      <c r="AB30" s="330"/>
      <c r="AC30" s="330"/>
      <c r="AD30" s="330"/>
      <c r="AE30" s="330"/>
      <c r="AF30" s="330"/>
      <c r="AG30" s="330"/>
    </row>
    <row r="31" spans="1:33" s="6" customFormat="1" ht="13.5" customHeight="1" thickBot="1">
      <c r="A31" s="8"/>
      <c r="B31" s="4"/>
      <c r="C31" s="134" t="s">
        <v>29</v>
      </c>
      <c r="D31" s="204"/>
      <c r="E31" s="136" t="s">
        <v>30</v>
      </c>
      <c r="F31" s="134" t="s">
        <v>29</v>
      </c>
      <c r="G31" s="204"/>
      <c r="H31" s="136" t="s">
        <v>30</v>
      </c>
      <c r="I31" s="134" t="s">
        <v>29</v>
      </c>
      <c r="J31" s="204"/>
      <c r="K31" s="136" t="s">
        <v>30</v>
      </c>
      <c r="L31" s="134" t="s">
        <v>29</v>
      </c>
      <c r="M31" s="205"/>
      <c r="N31" s="136" t="s">
        <v>30</v>
      </c>
      <c r="O31" s="134" t="s">
        <v>29</v>
      </c>
      <c r="P31" s="114"/>
      <c r="Q31" s="136" t="s">
        <v>30</v>
      </c>
      <c r="T31" s="330"/>
      <c r="U31" s="330"/>
      <c r="V31" s="330"/>
      <c r="W31" s="330"/>
      <c r="X31" s="330"/>
      <c r="Y31" s="330"/>
      <c r="Z31" s="330"/>
      <c r="AA31" s="330"/>
      <c r="AB31" s="330"/>
      <c r="AC31" s="330"/>
      <c r="AD31" s="330"/>
      <c r="AE31" s="330"/>
      <c r="AF31" s="330"/>
      <c r="AG31" s="330"/>
    </row>
    <row r="32" spans="1:33" s="7" customFormat="1" ht="6.75" customHeight="1" thickBot="1">
      <c r="A32" s="8"/>
      <c r="B32" s="9"/>
      <c r="C32" s="138"/>
      <c r="D32" s="129"/>
      <c r="E32" s="130"/>
      <c r="F32" s="138"/>
      <c r="G32" s="129"/>
      <c r="H32" s="130"/>
      <c r="I32" s="138"/>
      <c r="J32" s="129"/>
      <c r="K32" s="130"/>
      <c r="L32" s="138"/>
      <c r="M32" s="129"/>
      <c r="N32" s="130"/>
      <c r="O32" s="138"/>
      <c r="P32" s="129"/>
      <c r="Q32" s="130"/>
      <c r="R32" s="6"/>
      <c r="S32" s="6"/>
      <c r="T32" s="330"/>
      <c r="U32" s="330"/>
      <c r="V32" s="330"/>
      <c r="W32" s="330"/>
      <c r="X32" s="330"/>
      <c r="Y32" s="330"/>
      <c r="Z32" s="330"/>
      <c r="AA32" s="330"/>
      <c r="AB32" s="330"/>
      <c r="AC32" s="330"/>
      <c r="AD32" s="330"/>
      <c r="AE32" s="330"/>
      <c r="AF32" s="330"/>
      <c r="AG32" s="330"/>
    </row>
    <row r="33" spans="1:33" s="7" customFormat="1" ht="15.5">
      <c r="A33" s="123" t="s">
        <v>31</v>
      </c>
      <c r="B33" s="124"/>
      <c r="C33" s="124"/>
      <c r="D33" s="124"/>
      <c r="E33" s="124"/>
      <c r="F33" s="125"/>
      <c r="G33" s="125"/>
      <c r="H33" s="125"/>
      <c r="I33" s="125"/>
      <c r="J33" s="125"/>
      <c r="K33" s="125"/>
      <c r="L33" s="125"/>
      <c r="M33" s="125"/>
      <c r="N33" s="125"/>
      <c r="O33" s="125"/>
      <c r="P33" s="125"/>
      <c r="Q33" s="126"/>
      <c r="R33" s="6"/>
      <c r="S33" s="6"/>
      <c r="T33" s="330"/>
      <c r="U33" s="330"/>
      <c r="V33" s="330"/>
      <c r="W33" s="330"/>
      <c r="X33" s="330"/>
      <c r="Y33" s="330"/>
      <c r="Z33" s="330"/>
      <c r="AA33" s="330"/>
      <c r="AB33" s="330"/>
      <c r="AC33" s="330"/>
      <c r="AD33" s="330"/>
      <c r="AE33" s="330"/>
      <c r="AF33" s="330"/>
      <c r="AG33" s="330"/>
    </row>
    <row r="34" spans="1:33" s="7" customFormat="1" ht="16" thickBot="1">
      <c r="A34" s="127" t="s">
        <v>0</v>
      </c>
      <c r="B34" s="128"/>
      <c r="C34" s="128"/>
      <c r="D34" s="128"/>
      <c r="E34" s="128"/>
      <c r="F34" s="129"/>
      <c r="G34" s="129"/>
      <c r="H34" s="129"/>
      <c r="I34" s="129"/>
      <c r="J34" s="129"/>
      <c r="K34" s="129"/>
      <c r="L34" s="129"/>
      <c r="M34" s="129"/>
      <c r="N34" s="129"/>
      <c r="O34" s="129"/>
      <c r="P34" s="129"/>
      <c r="Q34" s="130"/>
      <c r="R34" s="6"/>
      <c r="S34" s="6"/>
      <c r="T34" s="330"/>
      <c r="U34" s="330"/>
      <c r="V34" s="330"/>
    </row>
    <row r="35" spans="1:33" s="7" customFormat="1" ht="12.5">
      <c r="A35" s="115"/>
      <c r="B35" s="115"/>
      <c r="C35" s="115"/>
      <c r="D35" s="115"/>
      <c r="E35" s="115"/>
      <c r="F35" s="6"/>
      <c r="G35" s="6"/>
      <c r="H35" s="6"/>
      <c r="I35" s="6"/>
      <c r="J35" s="6"/>
      <c r="K35" s="6"/>
      <c r="L35" s="6"/>
      <c r="M35" s="6"/>
      <c r="N35" s="6"/>
      <c r="O35" s="6"/>
      <c r="P35" s="6"/>
      <c r="Q35" s="6"/>
      <c r="R35" s="6"/>
      <c r="S35" s="6"/>
      <c r="T35" s="330"/>
      <c r="U35" s="330"/>
      <c r="V35" s="330"/>
    </row>
    <row r="36" spans="1:33" s="7" customFormat="1">
      <c r="A36" s="8"/>
      <c r="B36" s="9"/>
      <c r="C36" s="6"/>
      <c r="D36" s="6"/>
      <c r="E36" s="6"/>
      <c r="F36" s="6"/>
      <c r="G36" s="6"/>
      <c r="H36" s="6"/>
      <c r="I36" s="6"/>
      <c r="J36" s="6"/>
      <c r="K36" s="6"/>
      <c r="L36" s="6"/>
      <c r="M36" s="6"/>
      <c r="N36" s="6"/>
      <c r="O36" s="6"/>
      <c r="P36" s="6"/>
      <c r="Q36" s="6"/>
      <c r="R36" s="6"/>
      <c r="S36" s="6"/>
      <c r="T36" s="330"/>
      <c r="U36" s="330"/>
      <c r="V36" s="330"/>
    </row>
    <row r="37" spans="1:33" s="7" customFormat="1">
      <c r="A37" s="8"/>
      <c r="B37" s="9"/>
      <c r="C37" s="6"/>
      <c r="D37" s="6"/>
      <c r="E37" s="6"/>
      <c r="F37" s="6"/>
      <c r="G37" s="6"/>
      <c r="H37" s="6"/>
      <c r="I37" s="6"/>
      <c r="J37" s="6"/>
      <c r="K37" s="6"/>
      <c r="L37" s="6"/>
      <c r="M37" s="6"/>
      <c r="N37" s="6"/>
      <c r="O37" s="6"/>
      <c r="P37" s="6"/>
      <c r="Q37" s="6"/>
      <c r="R37" s="6"/>
      <c r="S37" s="6"/>
      <c r="T37" s="330"/>
      <c r="U37" s="330"/>
      <c r="V37" s="330"/>
    </row>
    <row r="38" spans="1:33">
      <c r="T38" s="223"/>
      <c r="U38" s="223"/>
      <c r="V38" s="223"/>
    </row>
  </sheetData>
  <mergeCells count="2">
    <mergeCell ref="C8:D8"/>
    <mergeCell ref="I6:J6"/>
  </mergeCells>
  <phoneticPr fontId="37" type="noConversion"/>
  <dataValidations count="1">
    <dataValidation type="decimal" errorStyle="warning" allowBlank="1" showInputMessage="1" showErrorMessage="1" errorTitle="Please Check!" error="Confirm that the value you have entered is correct" sqref="N12:N24 H12:H24 K12:K24 E12:E24" xr:uid="{00000000-0002-0000-1000-000000000000}">
      <formula1>0.06</formula1>
      <formula2>1.5</formula2>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37"/>
  <sheetViews>
    <sheetView zoomScale="90" zoomScaleNormal="90" workbookViewId="0">
      <selection activeCell="D29" sqref="D29"/>
    </sheetView>
  </sheetViews>
  <sheetFormatPr defaultColWidth="11.54296875" defaultRowHeight="13"/>
  <cols>
    <col min="1" max="1" width="9.1796875" style="2" customWidth="1"/>
    <col min="2" max="2" width="7.26953125" style="1" customWidth="1"/>
    <col min="3" max="3" width="17.1796875" bestFit="1" customWidth="1"/>
    <col min="4" max="5" width="9.453125" customWidth="1"/>
    <col min="6" max="6" width="16" bestFit="1" customWidth="1"/>
    <col min="7" max="8" width="9.453125" customWidth="1"/>
    <col min="9" max="9" width="16.453125" customWidth="1"/>
    <col min="10" max="11" width="9.453125" customWidth="1"/>
    <col min="12" max="12" width="16" bestFit="1" customWidth="1"/>
    <col min="13" max="17" width="9.453125" customWidth="1"/>
    <col min="18" max="20" width="8.1796875" customWidth="1"/>
  </cols>
  <sheetData>
    <row r="1" spans="1:22" s="7" customFormat="1" ht="19.5" customHeight="1">
      <c r="A1" s="34" t="s">
        <v>62</v>
      </c>
      <c r="B1" s="9"/>
      <c r="C1" s="6"/>
      <c r="D1" s="6"/>
      <c r="E1" s="6"/>
      <c r="F1" s="6"/>
      <c r="G1" s="6"/>
      <c r="H1" s="94" t="s">
        <v>23</v>
      </c>
      <c r="I1" s="6"/>
      <c r="J1" s="6"/>
      <c r="K1" s="6"/>
      <c r="L1" s="6"/>
      <c r="M1" s="6"/>
      <c r="N1" s="6"/>
      <c r="O1" s="6"/>
      <c r="P1" s="6"/>
      <c r="Q1" s="6"/>
      <c r="R1" s="6"/>
      <c r="S1" s="6"/>
      <c r="T1" s="6"/>
      <c r="U1" s="6"/>
      <c r="V1" s="6"/>
    </row>
    <row r="2" spans="1:22" s="7" customFormat="1" ht="19.5" customHeight="1">
      <c r="A2" s="350" t="s">
        <v>143</v>
      </c>
      <c r="B2" s="9"/>
      <c r="C2" s="6"/>
      <c r="D2" s="6"/>
      <c r="E2" s="6"/>
      <c r="F2" s="6"/>
      <c r="G2" s="6"/>
      <c r="H2" s="95" t="s">
        <v>1</v>
      </c>
      <c r="I2" s="6"/>
      <c r="J2" s="6"/>
      <c r="K2" s="6"/>
      <c r="L2" s="6"/>
      <c r="M2" s="6"/>
      <c r="N2" s="6"/>
      <c r="O2" s="6"/>
      <c r="P2" s="6"/>
      <c r="Q2" s="6"/>
      <c r="R2" s="6"/>
      <c r="S2" s="6"/>
      <c r="T2" s="6"/>
      <c r="U2" s="6"/>
      <c r="V2" s="6"/>
    </row>
    <row r="3" spans="1:22" s="7" customFormat="1" ht="13.5" customHeight="1" thickBot="1">
      <c r="A3" s="87"/>
      <c r="B3" s="9"/>
      <c r="C3" s="6"/>
      <c r="D3" s="6"/>
      <c r="E3" s="6"/>
      <c r="F3" s="6"/>
      <c r="G3" s="6"/>
      <c r="H3" s="88"/>
      <c r="I3" s="6"/>
      <c r="J3" s="6"/>
      <c r="K3" s="6"/>
      <c r="L3" s="6"/>
      <c r="M3" s="96"/>
      <c r="N3" s="96"/>
      <c r="O3" s="6"/>
      <c r="P3" s="96"/>
      <c r="Q3" s="96"/>
      <c r="R3" s="96"/>
      <c r="S3" s="96"/>
      <c r="T3" s="96"/>
      <c r="U3" s="6"/>
      <c r="V3" s="6"/>
    </row>
    <row r="4" spans="1:22" s="7" customFormat="1" ht="19.5" customHeight="1">
      <c r="A4" s="8"/>
      <c r="B4" s="346" t="s">
        <v>135</v>
      </c>
      <c r="C4" s="147" t="str">
        <f>'START HERE'!F6</f>
        <v>Korea</v>
      </c>
      <c r="D4" s="164"/>
      <c r="E4" s="21"/>
      <c r="F4" s="6"/>
      <c r="G4" s="6"/>
      <c r="H4" s="215" t="s">
        <v>45</v>
      </c>
      <c r="I4" s="219" t="s">
        <v>93</v>
      </c>
      <c r="J4" s="97"/>
      <c r="K4" s="98"/>
      <c r="L4" s="6"/>
      <c r="M4" s="96"/>
      <c r="N4" s="96"/>
      <c r="O4" s="6"/>
      <c r="P4" s="96"/>
      <c r="Q4" s="96"/>
      <c r="R4" s="96"/>
      <c r="S4" s="96"/>
      <c r="T4" s="96"/>
      <c r="U4" s="6"/>
      <c r="V4" s="6"/>
    </row>
    <row r="5" spans="1:22" s="7" customFormat="1" ht="19.5" customHeight="1">
      <c r="A5" s="8"/>
      <c r="B5" s="13" t="s">
        <v>2</v>
      </c>
      <c r="C5" s="148" t="str">
        <f>'START HERE'!F5</f>
        <v>Jack mackerel</v>
      </c>
      <c r="D5" s="166"/>
      <c r="E5" s="22"/>
      <c r="F5" s="165"/>
      <c r="G5" s="165"/>
      <c r="H5" s="13"/>
      <c r="I5" s="212"/>
      <c r="J5" s="99"/>
      <c r="K5" s="100"/>
      <c r="L5" s="6"/>
      <c r="M5" s="96"/>
      <c r="N5" s="96"/>
      <c r="O5" s="6"/>
      <c r="P5" s="96"/>
      <c r="Q5" s="96"/>
      <c r="R5" s="96"/>
      <c r="S5" s="96"/>
      <c r="T5" s="96"/>
      <c r="U5" s="6"/>
      <c r="V5" s="6"/>
    </row>
    <row r="6" spans="1:22" s="7" customFormat="1" ht="18.75" customHeight="1" thickBot="1">
      <c r="A6" s="8"/>
      <c r="B6" s="13" t="s">
        <v>3</v>
      </c>
      <c r="C6" s="144">
        <f>'START HERE'!K3</f>
        <v>2018</v>
      </c>
      <c r="D6" s="145"/>
      <c r="E6" s="146"/>
      <c r="F6" s="6"/>
      <c r="G6" s="6"/>
      <c r="H6" s="13" t="s">
        <v>16</v>
      </c>
      <c r="I6" s="384">
        <f>'START HERE'!$F8</f>
        <v>42252</v>
      </c>
      <c r="J6" s="385"/>
      <c r="K6" s="149"/>
      <c r="L6" s="6"/>
      <c r="M6" s="96"/>
      <c r="N6" s="96"/>
      <c r="O6" s="6"/>
      <c r="P6" s="96"/>
      <c r="Q6" s="96"/>
      <c r="R6" s="96"/>
      <c r="S6" s="96"/>
      <c r="T6" s="96"/>
      <c r="U6" s="6"/>
      <c r="V6" s="6"/>
    </row>
    <row r="7" spans="1:22" s="7" customFormat="1" ht="13.5" customHeight="1" thickBot="1">
      <c r="A7" s="8"/>
      <c r="B7" s="9"/>
      <c r="C7" s="6"/>
      <c r="D7" s="6"/>
      <c r="E7" s="6"/>
      <c r="F7" s="6"/>
      <c r="G7" s="6"/>
      <c r="H7" s="6"/>
      <c r="I7" s="6"/>
      <c r="J7" s="6"/>
      <c r="K7" s="6"/>
      <c r="L7" s="6"/>
      <c r="M7" s="6"/>
      <c r="N7" s="6"/>
      <c r="O7" s="6"/>
      <c r="P7" s="6"/>
      <c r="Q7" s="6"/>
      <c r="R7" s="6"/>
      <c r="S7" s="6"/>
      <c r="T7" s="6"/>
      <c r="U7" s="6"/>
      <c r="V7" s="6"/>
    </row>
    <row r="8" spans="1:22" s="89" customFormat="1" ht="18" customHeight="1" thickBot="1">
      <c r="A8" s="119"/>
      <c r="B8" s="120"/>
      <c r="C8" s="408" t="s">
        <v>61</v>
      </c>
      <c r="D8" s="409"/>
      <c r="E8" s="118"/>
      <c r="F8" s="194" t="s">
        <v>37</v>
      </c>
      <c r="G8" s="117"/>
      <c r="H8" s="118"/>
      <c r="I8" s="194" t="s">
        <v>38</v>
      </c>
      <c r="J8" s="117"/>
      <c r="K8" s="118"/>
      <c r="L8" s="194" t="s">
        <v>39</v>
      </c>
      <c r="M8" s="117"/>
      <c r="N8" s="118"/>
      <c r="O8" s="116" t="s">
        <v>48</v>
      </c>
      <c r="P8" s="117"/>
      <c r="Q8" s="118"/>
      <c r="R8" s="122"/>
      <c r="S8" s="122"/>
    </row>
    <row r="9" spans="1:22" s="7" customFormat="1" ht="13.5" customHeight="1" thickBot="1">
      <c r="A9" s="152"/>
      <c r="B9" s="152"/>
      <c r="C9" s="17" t="s">
        <v>4</v>
      </c>
      <c r="D9" s="153" t="s">
        <v>5</v>
      </c>
      <c r="E9" s="16" t="s">
        <v>5</v>
      </c>
      <c r="F9" s="17" t="s">
        <v>4</v>
      </c>
      <c r="G9" s="15" t="s">
        <v>5</v>
      </c>
      <c r="H9" s="16" t="s">
        <v>5</v>
      </c>
      <c r="I9" s="17" t="s">
        <v>4</v>
      </c>
      <c r="J9" s="15" t="s">
        <v>5</v>
      </c>
      <c r="K9" s="16" t="s">
        <v>5</v>
      </c>
      <c r="L9" s="17" t="s">
        <v>4</v>
      </c>
      <c r="M9" s="15" t="s">
        <v>5</v>
      </c>
      <c r="N9" s="16" t="s">
        <v>5</v>
      </c>
      <c r="O9" s="17" t="s">
        <v>4</v>
      </c>
      <c r="P9" s="15" t="s">
        <v>5</v>
      </c>
      <c r="Q9" s="16" t="s">
        <v>5</v>
      </c>
      <c r="R9" s="6"/>
      <c r="S9" s="6"/>
    </row>
    <row r="10" spans="1:22" s="7" customFormat="1" ht="13.5" customHeight="1">
      <c r="A10" s="14"/>
      <c r="B10" s="214" t="s">
        <v>90</v>
      </c>
      <c r="C10" s="20" t="s">
        <v>6</v>
      </c>
      <c r="D10" s="18" t="s">
        <v>47</v>
      </c>
      <c r="E10" s="19" t="s">
        <v>7</v>
      </c>
      <c r="F10" s="20" t="s">
        <v>6</v>
      </c>
      <c r="G10" s="18" t="s">
        <v>47</v>
      </c>
      <c r="H10" s="19" t="s">
        <v>7</v>
      </c>
      <c r="I10" s="20" t="s">
        <v>6</v>
      </c>
      <c r="J10" s="18" t="s">
        <v>47</v>
      </c>
      <c r="K10" s="19" t="s">
        <v>7</v>
      </c>
      <c r="L10" s="20" t="s">
        <v>6</v>
      </c>
      <c r="M10" s="18" t="s">
        <v>47</v>
      </c>
      <c r="N10" s="19" t="s">
        <v>7</v>
      </c>
      <c r="O10" s="20" t="s">
        <v>6</v>
      </c>
      <c r="P10" s="18" t="s">
        <v>47</v>
      </c>
      <c r="Q10" s="19" t="s">
        <v>7</v>
      </c>
      <c r="R10" s="6"/>
      <c r="S10" s="6"/>
    </row>
    <row r="11" spans="1:22" s="7" customFormat="1" ht="15" customHeight="1" thickBot="1">
      <c r="A11" s="151"/>
      <c r="B11" s="102"/>
      <c r="C11" s="103" t="s">
        <v>132</v>
      </c>
      <c r="D11" s="101" t="s">
        <v>49</v>
      </c>
      <c r="E11" s="102" t="s">
        <v>58</v>
      </c>
      <c r="F11" s="103" t="s">
        <v>132</v>
      </c>
      <c r="G11" s="101" t="s">
        <v>49</v>
      </c>
      <c r="H11" s="102" t="s">
        <v>58</v>
      </c>
      <c r="I11" s="103" t="s">
        <v>132</v>
      </c>
      <c r="J11" s="101" t="s">
        <v>49</v>
      </c>
      <c r="K11" s="102" t="s">
        <v>58</v>
      </c>
      <c r="L11" s="103" t="s">
        <v>132</v>
      </c>
      <c r="M11" s="101" t="s">
        <v>49</v>
      </c>
      <c r="N11" s="102" t="s">
        <v>58</v>
      </c>
      <c r="O11" s="103" t="s">
        <v>132</v>
      </c>
      <c r="P11" s="101" t="s">
        <v>49</v>
      </c>
      <c r="Q11" s="102" t="s">
        <v>8</v>
      </c>
      <c r="R11" s="6"/>
      <c r="S11" s="6"/>
    </row>
    <row r="12" spans="1:22" s="7" customFormat="1" ht="15" customHeight="1">
      <c r="A12" s="154"/>
      <c r="B12" s="104" t="s">
        <v>9</v>
      </c>
      <c r="C12" s="105"/>
      <c r="D12" s="106"/>
      <c r="E12" s="206"/>
      <c r="F12" s="105"/>
      <c r="G12" s="106"/>
      <c r="H12" s="206"/>
      <c r="I12" s="105"/>
      <c r="J12" s="106"/>
      <c r="K12" s="206"/>
      <c r="L12" s="105"/>
      <c r="M12" s="106"/>
      <c r="N12" s="206"/>
      <c r="O12" s="107">
        <f t="shared" ref="O12:O24" si="0">SUM(C12+F12+I12+L12)</f>
        <v>0</v>
      </c>
      <c r="P12" s="108" t="str">
        <f t="shared" ref="P12:P24" si="1">IF(SUM(D12+G12+J12+M12)&gt;0,(C12*D12+F12*G12+I12*J12+L12*M12)/SUM(C12+F12+I12+L12),"")</f>
        <v/>
      </c>
      <c r="Q12" s="208" t="str">
        <f t="shared" ref="Q12:Q24" si="2">IF(SUM(E12,H12,K12,N12)&gt;0,SUM(C12*E12+F12*H12+I12*K12+L12*N12)/SUM(C12+F12+I12+L12),"")</f>
        <v/>
      </c>
      <c r="R12" s="6"/>
      <c r="S12" s="6"/>
    </row>
    <row r="13" spans="1:22" s="7" customFormat="1" ht="15" customHeight="1">
      <c r="A13" s="154"/>
      <c r="B13" s="104" t="s">
        <v>50</v>
      </c>
      <c r="C13" s="109"/>
      <c r="D13" s="110"/>
      <c r="E13" s="207"/>
      <c r="F13" s="109"/>
      <c r="G13" s="110"/>
      <c r="H13" s="207"/>
      <c r="I13" s="109"/>
      <c r="J13" s="110"/>
      <c r="K13" s="207"/>
      <c r="L13" s="109"/>
      <c r="M13" s="110"/>
      <c r="N13" s="207"/>
      <c r="O13" s="107">
        <f t="shared" si="0"/>
        <v>0</v>
      </c>
      <c r="P13" s="108" t="str">
        <f t="shared" si="1"/>
        <v/>
      </c>
      <c r="Q13" s="208" t="str">
        <f t="shared" si="2"/>
        <v/>
      </c>
      <c r="R13" s="6"/>
      <c r="S13" s="6"/>
    </row>
    <row r="14" spans="1:22" s="7" customFormat="1" ht="15" customHeight="1">
      <c r="A14" s="154"/>
      <c r="B14" s="104" t="s">
        <v>51</v>
      </c>
      <c r="C14" s="109"/>
      <c r="D14" s="110"/>
      <c r="E14" s="207"/>
      <c r="F14" s="109"/>
      <c r="G14" s="110"/>
      <c r="H14" s="207"/>
      <c r="I14" s="109"/>
      <c r="J14" s="110"/>
      <c r="K14" s="207"/>
      <c r="L14" s="109"/>
      <c r="M14" s="110"/>
      <c r="N14" s="207"/>
      <c r="O14" s="107">
        <f t="shared" si="0"/>
        <v>0</v>
      </c>
      <c r="P14" s="108" t="str">
        <f t="shared" si="1"/>
        <v/>
      </c>
      <c r="Q14" s="208" t="str">
        <f t="shared" si="2"/>
        <v/>
      </c>
      <c r="R14" s="6"/>
      <c r="S14" s="6"/>
    </row>
    <row r="15" spans="1:22" s="7" customFormat="1" ht="15" customHeight="1">
      <c r="A15" s="154"/>
      <c r="B15" s="104" t="s">
        <v>52</v>
      </c>
      <c r="C15" s="109"/>
      <c r="D15" s="110"/>
      <c r="E15" s="207"/>
      <c r="F15" s="109"/>
      <c r="G15" s="110"/>
      <c r="H15" s="207"/>
      <c r="I15" s="109"/>
      <c r="J15" s="110"/>
      <c r="K15" s="207"/>
      <c r="L15" s="109"/>
      <c r="M15" s="110"/>
      <c r="N15" s="207"/>
      <c r="O15" s="107">
        <f t="shared" si="0"/>
        <v>0</v>
      </c>
      <c r="P15" s="108" t="str">
        <f t="shared" si="1"/>
        <v/>
      </c>
      <c r="Q15" s="208" t="str">
        <f t="shared" si="2"/>
        <v/>
      </c>
      <c r="R15" s="6"/>
      <c r="S15" s="6"/>
    </row>
    <row r="16" spans="1:22" s="7" customFormat="1" ht="15" customHeight="1">
      <c r="A16" s="154"/>
      <c r="B16" s="104" t="s">
        <v>53</v>
      </c>
      <c r="C16" s="109"/>
      <c r="D16" s="110"/>
      <c r="E16" s="207"/>
      <c r="F16" s="109"/>
      <c r="G16" s="110"/>
      <c r="H16" s="207"/>
      <c r="I16" s="109"/>
      <c r="J16" s="110"/>
      <c r="K16" s="207"/>
      <c r="L16" s="109"/>
      <c r="M16" s="110"/>
      <c r="N16" s="207"/>
      <c r="O16" s="107">
        <f t="shared" si="0"/>
        <v>0</v>
      </c>
      <c r="P16" s="108" t="str">
        <f t="shared" si="1"/>
        <v/>
      </c>
      <c r="Q16" s="208" t="str">
        <f t="shared" si="2"/>
        <v/>
      </c>
      <c r="R16" s="6"/>
      <c r="S16" s="6"/>
    </row>
    <row r="17" spans="1:19" s="7" customFormat="1" ht="15" customHeight="1">
      <c r="A17" s="154"/>
      <c r="B17" s="104" t="s">
        <v>10</v>
      </c>
      <c r="C17" s="109"/>
      <c r="D17" s="110"/>
      <c r="E17" s="207"/>
      <c r="F17" s="109"/>
      <c r="G17" s="110"/>
      <c r="H17" s="207"/>
      <c r="I17" s="109"/>
      <c r="J17" s="110"/>
      <c r="K17" s="207"/>
      <c r="L17" s="109"/>
      <c r="M17" s="110"/>
      <c r="N17" s="207"/>
      <c r="O17" s="107">
        <f t="shared" si="0"/>
        <v>0</v>
      </c>
      <c r="P17" s="108" t="str">
        <f t="shared" si="1"/>
        <v/>
      </c>
      <c r="Q17" s="208" t="str">
        <f t="shared" si="2"/>
        <v/>
      </c>
      <c r="R17" s="6"/>
      <c r="S17" s="6"/>
    </row>
    <row r="18" spans="1:19" s="7" customFormat="1" ht="15" customHeight="1">
      <c r="A18" s="154"/>
      <c r="B18" s="104" t="s">
        <v>11</v>
      </c>
      <c r="C18" s="109"/>
      <c r="D18" s="110"/>
      <c r="E18" s="207"/>
      <c r="F18" s="109"/>
      <c r="G18" s="110"/>
      <c r="H18" s="207"/>
      <c r="I18" s="109"/>
      <c r="J18" s="110"/>
      <c r="K18" s="207"/>
      <c r="L18" s="109"/>
      <c r="M18" s="110"/>
      <c r="N18" s="207"/>
      <c r="O18" s="107">
        <f t="shared" si="0"/>
        <v>0</v>
      </c>
      <c r="P18" s="108" t="str">
        <f t="shared" si="1"/>
        <v/>
      </c>
      <c r="Q18" s="208" t="str">
        <f t="shared" si="2"/>
        <v/>
      </c>
      <c r="R18" s="6"/>
      <c r="S18" s="6"/>
    </row>
    <row r="19" spans="1:19" s="7" customFormat="1" ht="15" customHeight="1">
      <c r="A19" s="154"/>
      <c r="B19" s="104" t="s">
        <v>12</v>
      </c>
      <c r="C19" s="109"/>
      <c r="D19" s="110"/>
      <c r="E19" s="207"/>
      <c r="F19" s="109"/>
      <c r="G19" s="110"/>
      <c r="H19" s="207"/>
      <c r="I19" s="109"/>
      <c r="J19" s="110"/>
      <c r="K19" s="207"/>
      <c r="L19" s="109"/>
      <c r="M19" s="110"/>
      <c r="N19" s="207"/>
      <c r="O19" s="107">
        <f t="shared" si="0"/>
        <v>0</v>
      </c>
      <c r="P19" s="108" t="str">
        <f t="shared" si="1"/>
        <v/>
      </c>
      <c r="Q19" s="208" t="str">
        <f t="shared" si="2"/>
        <v/>
      </c>
      <c r="R19" s="6"/>
      <c r="S19" s="6"/>
    </row>
    <row r="20" spans="1:19" s="7" customFormat="1" ht="15" customHeight="1">
      <c r="A20" s="154"/>
      <c r="B20" s="104" t="s">
        <v>13</v>
      </c>
      <c r="C20" s="109"/>
      <c r="D20" s="110"/>
      <c r="E20" s="207"/>
      <c r="F20" s="109"/>
      <c r="G20" s="110"/>
      <c r="H20" s="207"/>
      <c r="I20" s="109"/>
      <c r="J20" s="110"/>
      <c r="K20" s="207"/>
      <c r="L20" s="109"/>
      <c r="M20" s="110"/>
      <c r="N20" s="207"/>
      <c r="O20" s="107">
        <f t="shared" si="0"/>
        <v>0</v>
      </c>
      <c r="P20" s="108" t="str">
        <f t="shared" si="1"/>
        <v/>
      </c>
      <c r="Q20" s="208" t="str">
        <f t="shared" si="2"/>
        <v/>
      </c>
      <c r="R20" s="6"/>
      <c r="S20" s="6"/>
    </row>
    <row r="21" spans="1:19" s="7" customFormat="1" ht="15" customHeight="1">
      <c r="A21" s="154"/>
      <c r="B21" s="104">
        <v>9</v>
      </c>
      <c r="C21" s="109"/>
      <c r="D21" s="110"/>
      <c r="E21" s="207"/>
      <c r="F21" s="109"/>
      <c r="G21" s="110"/>
      <c r="H21" s="207"/>
      <c r="I21" s="109"/>
      <c r="J21" s="110"/>
      <c r="K21" s="207"/>
      <c r="L21" s="109"/>
      <c r="M21" s="110"/>
      <c r="N21" s="207"/>
      <c r="O21" s="107"/>
      <c r="P21" s="108"/>
      <c r="Q21" s="208"/>
      <c r="R21" s="6"/>
      <c r="S21" s="6"/>
    </row>
    <row r="22" spans="1:19" s="7" customFormat="1" ht="15" customHeight="1">
      <c r="A22" s="154"/>
      <c r="B22" s="104">
        <v>10</v>
      </c>
      <c r="C22" s="109"/>
      <c r="D22" s="110"/>
      <c r="E22" s="207"/>
      <c r="F22" s="109"/>
      <c r="G22" s="110"/>
      <c r="H22" s="207"/>
      <c r="I22" s="109"/>
      <c r="J22" s="110"/>
      <c r="K22" s="207"/>
      <c r="L22" s="109"/>
      <c r="M22" s="110"/>
      <c r="N22" s="207"/>
      <c r="O22" s="107"/>
      <c r="P22" s="108"/>
      <c r="Q22" s="208"/>
      <c r="R22" s="6"/>
      <c r="S22" s="6"/>
    </row>
    <row r="23" spans="1:19" s="7" customFormat="1" ht="15" customHeight="1">
      <c r="A23" s="154"/>
      <c r="B23" s="104">
        <v>11</v>
      </c>
      <c r="C23" s="109"/>
      <c r="D23" s="110"/>
      <c r="E23" s="207"/>
      <c r="F23" s="109"/>
      <c r="G23" s="110"/>
      <c r="H23" s="207"/>
      <c r="I23" s="109"/>
      <c r="J23" s="110"/>
      <c r="K23" s="207"/>
      <c r="L23" s="109"/>
      <c r="M23" s="110"/>
      <c r="N23" s="207"/>
      <c r="O23" s="107"/>
      <c r="P23" s="108"/>
      <c r="Q23" s="208"/>
      <c r="R23" s="6"/>
      <c r="S23" s="6"/>
    </row>
    <row r="24" spans="1:19" s="7" customFormat="1" ht="15" customHeight="1" thickBot="1">
      <c r="A24" s="195" t="s">
        <v>14</v>
      </c>
      <c r="B24" s="104" t="s">
        <v>91</v>
      </c>
      <c r="C24" s="109"/>
      <c r="D24" s="110"/>
      <c r="E24" s="207"/>
      <c r="F24" s="109"/>
      <c r="G24" s="110"/>
      <c r="H24" s="207"/>
      <c r="I24" s="109"/>
      <c r="J24" s="110"/>
      <c r="K24" s="207"/>
      <c r="L24" s="109"/>
      <c r="M24" s="110"/>
      <c r="N24" s="207"/>
      <c r="O24" s="107">
        <f t="shared" si="0"/>
        <v>0</v>
      </c>
      <c r="P24" s="108" t="str">
        <f t="shared" si="1"/>
        <v/>
      </c>
      <c r="Q24" s="208" t="str">
        <f t="shared" si="2"/>
        <v/>
      </c>
      <c r="R24" s="6"/>
      <c r="S24" s="6"/>
    </row>
    <row r="25" spans="1:19" s="7" customFormat="1" ht="15" customHeight="1" thickBot="1">
      <c r="A25" s="5"/>
      <c r="B25" s="163" t="s">
        <v>24</v>
      </c>
      <c r="C25" s="80" t="str">
        <f>IF(SUM(C12:C24)&gt;0,SUM(C12:C24),"na")</f>
        <v>na</v>
      </c>
      <c r="D25" s="23" t="str">
        <f>IF(SUM(D12:D24)&gt;0,SUMPRODUCT(C12:C24,D12:D24)/C25,"na")</f>
        <v>na</v>
      </c>
      <c r="E25" s="210" t="str">
        <f>IF(SUM(E12:E24)&gt;0,SUMPRODUCT(C12:C24,E12:E24)/C25,"na")</f>
        <v>na</v>
      </c>
      <c r="F25" s="80" t="str">
        <f>IF(SUM(F12:F24)&gt;0,SUM(F12:F24),"na")</f>
        <v>na</v>
      </c>
      <c r="G25" s="23" t="str">
        <f>IF(SUM(G12:G24)&gt;0,SUMPRODUCT(F12:F24,G12:G24)/F25,"na")</f>
        <v>na</v>
      </c>
      <c r="H25" s="24" t="str">
        <f>IF(SUM(H12:H24)&gt;0,SUMPRODUCT(F12:F24,H12:H24)/F25,"na")</f>
        <v>na</v>
      </c>
      <c r="I25" s="80" t="str">
        <f>IF(SUM(I12:I24)&gt;0,SUM(I12:I24),"na")</f>
        <v>na</v>
      </c>
      <c r="J25" s="23" t="str">
        <f>IF(SUM(J12:J24)&gt;0,SUMPRODUCT(I12:I24,J12:J24)/I25,"na")</f>
        <v>na</v>
      </c>
      <c r="K25" s="210" t="str">
        <f>IF(SUM(K12:K24)&gt;0,SUMPRODUCT(I12:I24,K12:K24)/I25,"na")</f>
        <v>na</v>
      </c>
      <c r="L25" s="80" t="str">
        <f>IF(SUM(L12:L24)&gt;0,SUM(L12:L24),"na")</f>
        <v>na</v>
      </c>
      <c r="M25" s="23" t="str">
        <f>IF(SUM(M12:M24)&gt;0,SUMPRODUCT(L12:L24,M12:M24)/L25,"na")</f>
        <v>na</v>
      </c>
      <c r="N25" s="24" t="str">
        <f>IF(SUM(N12:N24)&gt;0,SUMPRODUCT(L12:L24,N12:N24)/L25,"na")</f>
        <v>na</v>
      </c>
      <c r="O25" s="80" t="str">
        <f>IF(SUM(O12:O24)&gt;0,SUM(O12:O24),"na")</f>
        <v>na</v>
      </c>
      <c r="P25" s="23" t="str">
        <f>IF(SUM(P12:P24)&gt;0,SUMPRODUCT(O12:O24,P12:P24)/O25,"na")</f>
        <v>na</v>
      </c>
      <c r="Q25" s="25" t="str">
        <f>IF(SUM(Q12:Q24)&gt;0,SUMPRODUCT(O12:O24,Q12:Q24)/O25,"na")</f>
        <v>na</v>
      </c>
      <c r="R25" s="6"/>
      <c r="S25" s="6"/>
    </row>
    <row r="26" spans="1:19" s="121" customFormat="1" ht="6.75" customHeight="1" thickBot="1">
      <c r="A26" s="4"/>
      <c r="B26" s="4"/>
      <c r="C26" s="131"/>
      <c r="D26" s="132"/>
      <c r="E26" s="133"/>
      <c r="F26" s="139"/>
      <c r="G26" s="140"/>
      <c r="H26" s="133"/>
      <c r="I26" s="139"/>
      <c r="J26" s="140"/>
      <c r="K26" s="133"/>
      <c r="L26" s="139"/>
      <c r="M26" s="140"/>
      <c r="N26" s="133"/>
      <c r="O26" s="139"/>
      <c r="P26" s="141"/>
      <c r="Q26" s="142"/>
      <c r="R26" s="42"/>
      <c r="S26" s="42"/>
    </row>
    <row r="27" spans="1:19" s="7" customFormat="1" ht="13.5" customHeight="1">
      <c r="A27" s="4"/>
      <c r="B27" s="4"/>
      <c r="C27" s="134" t="s">
        <v>144</v>
      </c>
      <c r="D27" s="203"/>
      <c r="E27" s="135" t="s">
        <v>26</v>
      </c>
      <c r="F27" s="134" t="s">
        <v>144</v>
      </c>
      <c r="G27" s="203"/>
      <c r="H27" s="135" t="s">
        <v>26</v>
      </c>
      <c r="I27" s="134" t="s">
        <v>144</v>
      </c>
      <c r="J27" s="203"/>
      <c r="K27" s="135" t="s">
        <v>26</v>
      </c>
      <c r="L27" s="134" t="s">
        <v>144</v>
      </c>
      <c r="M27" s="203"/>
      <c r="N27" s="135" t="s">
        <v>26</v>
      </c>
      <c r="O27" s="134" t="s">
        <v>25</v>
      </c>
      <c r="P27" s="111">
        <f>SUM(M27,J27,G27,D27)</f>
        <v>0</v>
      </c>
      <c r="Q27" s="135" t="s">
        <v>26</v>
      </c>
      <c r="R27" s="6"/>
      <c r="S27" s="6"/>
    </row>
    <row r="28" spans="1:19" s="7" customFormat="1" ht="13.5" customHeight="1">
      <c r="A28" s="8"/>
      <c r="B28" s="4"/>
      <c r="C28" s="134" t="s">
        <v>27</v>
      </c>
      <c r="D28" s="112" t="str">
        <f>IF(SUM(E12:E24)&gt;0,(C25*E25),"na")</f>
        <v>na</v>
      </c>
      <c r="E28" s="135" t="s">
        <v>26</v>
      </c>
      <c r="F28" s="134" t="s">
        <v>27</v>
      </c>
      <c r="G28" s="112" t="str">
        <f>IF(SUM(H12:H24)&gt;0,(F25*H25),"na")</f>
        <v>na</v>
      </c>
      <c r="H28" s="135" t="s">
        <v>26</v>
      </c>
      <c r="I28" s="134" t="s">
        <v>27</v>
      </c>
      <c r="J28" s="112" t="str">
        <f>IF(SUM(K12:K24)&gt;0,(I25*K25),"na")</f>
        <v>na</v>
      </c>
      <c r="K28" s="135" t="s">
        <v>26</v>
      </c>
      <c r="L28" s="134" t="s">
        <v>27</v>
      </c>
      <c r="M28" s="112" t="str">
        <f>IF(SUM(N12:N24)&gt;0,(L25*N25),"na")</f>
        <v>na</v>
      </c>
      <c r="N28" s="135" t="s">
        <v>26</v>
      </c>
      <c r="O28" s="134" t="s">
        <v>27</v>
      </c>
      <c r="P28" s="112" t="str">
        <f>IF(SUM(Q12:Q24)&gt;0,(O25*Q25),"na")</f>
        <v>na</v>
      </c>
      <c r="Q28" s="135" t="s">
        <v>26</v>
      </c>
      <c r="R28" s="6"/>
      <c r="S28" s="6"/>
    </row>
    <row r="29" spans="1:19" s="7" customFormat="1" ht="13.5" customHeight="1" thickBot="1">
      <c r="A29" s="8"/>
      <c r="B29" s="4"/>
      <c r="C29" s="134" t="s">
        <v>27</v>
      </c>
      <c r="D29" s="113" t="str">
        <f>IF(SUM(E12:E24)&gt;0,D28/D27,"na")</f>
        <v>na</v>
      </c>
      <c r="E29" s="136" t="s">
        <v>28</v>
      </c>
      <c r="F29" s="134" t="s">
        <v>27</v>
      </c>
      <c r="G29" s="113" t="str">
        <f>IF(SUM(H12:H24)&gt;0,G28/G27,"na")</f>
        <v>na</v>
      </c>
      <c r="H29" s="136" t="s">
        <v>28</v>
      </c>
      <c r="I29" s="134" t="s">
        <v>27</v>
      </c>
      <c r="J29" s="113" t="str">
        <f>IF(SUM(K12:K24)&gt;0,J28/J27,"na")</f>
        <v>na</v>
      </c>
      <c r="K29" s="136" t="s">
        <v>28</v>
      </c>
      <c r="L29" s="134" t="s">
        <v>27</v>
      </c>
      <c r="M29" s="113" t="str">
        <f>IF(SUM(N12:N24)&gt;0,M28/M27,"na")</f>
        <v>na</v>
      </c>
      <c r="N29" s="136" t="s">
        <v>28</v>
      </c>
      <c r="O29" s="134" t="s">
        <v>27</v>
      </c>
      <c r="P29" s="113" t="str">
        <f>IF(SUM(Q12:Q24)&gt;0,P28/P27,"na")</f>
        <v>na</v>
      </c>
      <c r="Q29" s="136" t="s">
        <v>28</v>
      </c>
      <c r="R29" s="6"/>
      <c r="S29" s="6"/>
    </row>
    <row r="30" spans="1:19" s="6" customFormat="1" ht="6" customHeight="1" thickBot="1">
      <c r="A30" s="8"/>
      <c r="B30" s="4"/>
      <c r="C30" s="137"/>
      <c r="D30" s="36"/>
      <c r="E30" s="136"/>
      <c r="F30" s="137"/>
      <c r="G30" s="36"/>
      <c r="H30" s="136"/>
      <c r="I30" s="137"/>
      <c r="J30" s="36"/>
      <c r="K30" s="136"/>
      <c r="L30" s="137"/>
      <c r="M30" s="36"/>
      <c r="N30" s="136"/>
      <c r="O30" s="137"/>
      <c r="P30" s="36"/>
      <c r="Q30" s="136"/>
    </row>
    <row r="31" spans="1:19" s="6" customFormat="1" ht="13.5" customHeight="1" thickBot="1">
      <c r="A31" s="8"/>
      <c r="B31" s="4"/>
      <c r="C31" s="134" t="s">
        <v>29</v>
      </c>
      <c r="D31" s="204"/>
      <c r="E31" s="136" t="s">
        <v>30</v>
      </c>
      <c r="F31" s="134" t="s">
        <v>29</v>
      </c>
      <c r="G31" s="204"/>
      <c r="H31" s="136" t="s">
        <v>30</v>
      </c>
      <c r="I31" s="134" t="s">
        <v>29</v>
      </c>
      <c r="J31" s="204"/>
      <c r="K31" s="136" t="s">
        <v>30</v>
      </c>
      <c r="L31" s="134" t="s">
        <v>29</v>
      </c>
      <c r="M31" s="205"/>
      <c r="N31" s="136" t="s">
        <v>30</v>
      </c>
      <c r="O31" s="134" t="s">
        <v>29</v>
      </c>
      <c r="P31" s="114"/>
      <c r="Q31" s="136" t="s">
        <v>30</v>
      </c>
    </row>
    <row r="32" spans="1:19" s="7" customFormat="1" ht="6.75" customHeight="1" thickBot="1">
      <c r="A32" s="8"/>
      <c r="B32" s="9"/>
      <c r="C32" s="138"/>
      <c r="D32" s="129"/>
      <c r="E32" s="130"/>
      <c r="F32" s="138"/>
      <c r="G32" s="129"/>
      <c r="H32" s="130"/>
      <c r="I32" s="138"/>
      <c r="J32" s="129"/>
      <c r="K32" s="130"/>
      <c r="L32" s="138"/>
      <c r="M32" s="129"/>
      <c r="N32" s="130"/>
      <c r="O32" s="138"/>
      <c r="P32" s="129"/>
      <c r="Q32" s="130"/>
      <c r="R32" s="6"/>
      <c r="S32" s="6"/>
    </row>
    <row r="33" spans="1:22" s="7" customFormat="1" ht="15.5">
      <c r="A33" s="123" t="s">
        <v>31</v>
      </c>
      <c r="B33" s="124"/>
      <c r="C33" s="124"/>
      <c r="D33" s="124"/>
      <c r="E33" s="124"/>
      <c r="F33" s="125"/>
      <c r="G33" s="125"/>
      <c r="H33" s="125"/>
      <c r="I33" s="125"/>
      <c r="J33" s="125"/>
      <c r="K33" s="125"/>
      <c r="L33" s="125"/>
      <c r="M33" s="125"/>
      <c r="N33" s="125"/>
      <c r="O33" s="125"/>
      <c r="P33" s="125"/>
      <c r="Q33" s="126"/>
      <c r="R33" s="6"/>
      <c r="S33" s="6"/>
    </row>
    <row r="34" spans="1:22" s="7" customFormat="1" ht="16" thickBot="1">
      <c r="A34" s="127" t="s">
        <v>0</v>
      </c>
      <c r="B34" s="128"/>
      <c r="C34" s="128"/>
      <c r="D34" s="128"/>
      <c r="E34" s="128"/>
      <c r="F34" s="129"/>
      <c r="G34" s="129"/>
      <c r="H34" s="129"/>
      <c r="I34" s="129"/>
      <c r="J34" s="129"/>
      <c r="K34" s="129"/>
      <c r="L34" s="129"/>
      <c r="M34" s="129"/>
      <c r="N34" s="129"/>
      <c r="O34" s="129"/>
      <c r="P34" s="129"/>
      <c r="Q34" s="130"/>
      <c r="R34" s="6"/>
      <c r="S34" s="6"/>
    </row>
    <row r="35" spans="1:22" s="7" customFormat="1" ht="12.5">
      <c r="A35" s="115"/>
      <c r="B35" s="115"/>
      <c r="C35" s="115"/>
      <c r="D35" s="115"/>
      <c r="E35" s="115"/>
      <c r="F35" s="6"/>
      <c r="G35" s="6"/>
      <c r="H35" s="6"/>
      <c r="I35" s="6"/>
      <c r="J35" s="6"/>
      <c r="K35" s="6"/>
      <c r="L35" s="6"/>
      <c r="M35" s="6"/>
      <c r="N35" s="6"/>
      <c r="O35" s="6"/>
      <c r="P35" s="6"/>
      <c r="Q35" s="6"/>
      <c r="R35" s="6"/>
      <c r="S35" s="6"/>
      <c r="T35" s="6"/>
      <c r="U35" s="6"/>
      <c r="V35" s="6"/>
    </row>
    <row r="36" spans="1:22" s="7" customFormat="1">
      <c r="A36" s="8"/>
      <c r="B36" s="9"/>
      <c r="C36" s="6"/>
      <c r="D36" s="6"/>
      <c r="E36" s="6"/>
      <c r="F36" s="6"/>
      <c r="G36" s="6"/>
      <c r="H36" s="6"/>
      <c r="I36" s="6"/>
      <c r="J36" s="6"/>
      <c r="K36" s="6"/>
      <c r="L36" s="6"/>
      <c r="M36" s="6"/>
      <c r="N36" s="6"/>
      <c r="O36" s="6"/>
      <c r="P36" s="6"/>
      <c r="Q36" s="6"/>
      <c r="R36" s="6"/>
      <c r="S36" s="6"/>
      <c r="T36" s="6"/>
      <c r="U36" s="6"/>
      <c r="V36" s="6"/>
    </row>
    <row r="37" spans="1:22" s="7" customFormat="1">
      <c r="A37" s="8"/>
      <c r="B37" s="9"/>
      <c r="C37" s="6"/>
      <c r="D37" s="6"/>
      <c r="E37" s="6"/>
      <c r="F37" s="6"/>
      <c r="G37" s="6"/>
      <c r="H37" s="6"/>
      <c r="I37" s="6"/>
      <c r="J37" s="6"/>
      <c r="K37" s="6"/>
      <c r="L37" s="6"/>
      <c r="M37" s="6"/>
      <c r="N37" s="6"/>
      <c r="O37" s="6"/>
      <c r="P37" s="6"/>
      <c r="Q37" s="6"/>
      <c r="R37" s="6"/>
      <c r="S37" s="6"/>
      <c r="T37" s="6"/>
      <c r="U37" s="6"/>
      <c r="V37" s="6"/>
    </row>
  </sheetData>
  <mergeCells count="2">
    <mergeCell ref="C8:D8"/>
    <mergeCell ref="I6:J6"/>
  </mergeCells>
  <phoneticPr fontId="37" type="noConversion"/>
  <dataValidations count="1">
    <dataValidation type="decimal" errorStyle="warning" allowBlank="1" showInputMessage="1" showErrorMessage="1" errorTitle="Please Check!" error="Confirm that the value you have entered is correct" sqref="N12:N24 H12:H24 K12:K24 E12:E24" xr:uid="{00000000-0002-0000-1100-000000000000}">
      <formula1>0.06</formula1>
      <formula2>1.5</formula2>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37"/>
  <sheetViews>
    <sheetView zoomScale="90" zoomScaleNormal="90" workbookViewId="0">
      <selection activeCell="P29" sqref="P29"/>
    </sheetView>
  </sheetViews>
  <sheetFormatPr defaultColWidth="11.54296875" defaultRowHeight="13"/>
  <cols>
    <col min="1" max="1" width="9.1796875" style="2" customWidth="1"/>
    <col min="2" max="2" width="7.26953125" style="1" customWidth="1"/>
    <col min="3" max="3" width="17.1796875" bestFit="1" customWidth="1"/>
    <col min="4" max="5" width="9.453125" customWidth="1"/>
    <col min="6" max="6" width="16" bestFit="1" customWidth="1"/>
    <col min="7" max="8" width="9.453125" customWidth="1"/>
    <col min="9" max="9" width="15.7265625" customWidth="1"/>
    <col min="10" max="11" width="9.453125" customWidth="1"/>
    <col min="12" max="12" width="16" bestFit="1" customWidth="1"/>
    <col min="13" max="14" width="9.453125" customWidth="1"/>
    <col min="15" max="15" width="16" bestFit="1" customWidth="1"/>
    <col min="16" max="17" width="9.453125" customWidth="1"/>
    <col min="18" max="20" width="8.1796875" customWidth="1"/>
  </cols>
  <sheetData>
    <row r="1" spans="1:22" s="7" customFormat="1" ht="19.5" customHeight="1">
      <c r="A1" s="34" t="s">
        <v>62</v>
      </c>
      <c r="B1" s="9"/>
      <c r="C1" s="6"/>
      <c r="D1" s="6"/>
      <c r="E1" s="6"/>
      <c r="F1" s="6"/>
      <c r="G1" s="6"/>
      <c r="H1" s="94" t="s">
        <v>23</v>
      </c>
      <c r="I1" s="6"/>
      <c r="J1" s="6"/>
      <c r="K1" s="6"/>
      <c r="L1" s="6"/>
      <c r="M1" s="6"/>
      <c r="N1" s="6"/>
      <c r="O1" s="6"/>
      <c r="P1" s="6"/>
      <c r="Q1" s="6"/>
      <c r="R1" s="6"/>
      <c r="S1" s="6"/>
      <c r="T1" s="330"/>
      <c r="U1" s="330"/>
      <c r="V1" s="330"/>
    </row>
    <row r="2" spans="1:22" s="7" customFormat="1" ht="19.5" customHeight="1">
      <c r="A2" s="350" t="s">
        <v>143</v>
      </c>
      <c r="B2" s="9"/>
      <c r="C2" s="6"/>
      <c r="D2" s="6"/>
      <c r="E2" s="6"/>
      <c r="F2" s="6"/>
      <c r="G2" s="6"/>
      <c r="H2" s="95" t="s">
        <v>1</v>
      </c>
      <c r="I2" s="6"/>
      <c r="J2" s="6"/>
      <c r="K2" s="6"/>
      <c r="L2" s="6"/>
      <c r="M2" s="6"/>
      <c r="N2" s="6"/>
      <c r="O2" s="6"/>
      <c r="P2" s="6"/>
      <c r="Q2" s="6"/>
      <c r="R2" s="6"/>
      <c r="S2" s="6"/>
      <c r="T2" s="330"/>
      <c r="U2" s="330"/>
      <c r="V2" s="330"/>
    </row>
    <row r="3" spans="1:22" s="7" customFormat="1" ht="13.5" customHeight="1" thickBot="1">
      <c r="A3" s="87"/>
      <c r="B3" s="9"/>
      <c r="C3" s="6"/>
      <c r="D3" s="6"/>
      <c r="E3" s="6"/>
      <c r="F3" s="6"/>
      <c r="G3" s="6"/>
      <c r="H3" s="88"/>
      <c r="I3" s="6"/>
      <c r="J3" s="6"/>
      <c r="K3" s="6"/>
      <c r="L3" s="6"/>
      <c r="M3" s="96"/>
      <c r="N3" s="96"/>
      <c r="O3" s="6"/>
      <c r="P3" s="96"/>
      <c r="Q3" s="96"/>
      <c r="R3" s="96"/>
      <c r="S3" s="96"/>
      <c r="T3" s="331"/>
      <c r="U3" s="330"/>
      <c r="V3" s="330"/>
    </row>
    <row r="4" spans="1:22" s="7" customFormat="1" ht="19.5" customHeight="1">
      <c r="A4" s="8"/>
      <c r="B4" s="346" t="s">
        <v>135</v>
      </c>
      <c r="C4" s="147" t="str">
        <f>'START HERE'!F6</f>
        <v>Korea</v>
      </c>
      <c r="D4" s="164"/>
      <c r="E4" s="21"/>
      <c r="F4" s="6"/>
      <c r="G4" s="6"/>
      <c r="H4" s="215" t="s">
        <v>141</v>
      </c>
      <c r="I4" s="219" t="s">
        <v>94</v>
      </c>
      <c r="J4" s="97"/>
      <c r="K4" s="98"/>
      <c r="L4" s="6"/>
      <c r="M4" s="96"/>
      <c r="N4" s="96"/>
      <c r="O4" s="6"/>
      <c r="P4" s="96"/>
      <c r="Q4" s="96"/>
      <c r="R4" s="96"/>
      <c r="S4" s="96"/>
      <c r="T4" s="331"/>
      <c r="U4" s="330"/>
      <c r="V4" s="330"/>
    </row>
    <row r="5" spans="1:22" s="7" customFormat="1" ht="19.5" customHeight="1">
      <c r="A5" s="8"/>
      <c r="B5" s="13" t="s">
        <v>2</v>
      </c>
      <c r="C5" s="148" t="str">
        <f>'START HERE'!F5</f>
        <v>Jack mackerel</v>
      </c>
      <c r="D5" s="166"/>
      <c r="E5" s="22"/>
      <c r="F5" s="165"/>
      <c r="G5" s="165"/>
      <c r="H5" s="13"/>
      <c r="I5" s="212"/>
      <c r="J5" s="99"/>
      <c r="K5" s="100"/>
      <c r="L5" s="6"/>
      <c r="M5" s="96"/>
      <c r="N5" s="96"/>
      <c r="O5" s="6"/>
      <c r="P5" s="96"/>
      <c r="Q5" s="96"/>
      <c r="R5" s="96"/>
      <c r="S5" s="96"/>
      <c r="T5" s="331"/>
      <c r="U5" s="330"/>
      <c r="V5" s="330"/>
    </row>
    <row r="6" spans="1:22" s="7" customFormat="1" ht="18.75" customHeight="1" thickBot="1">
      <c r="A6" s="8"/>
      <c r="B6" s="13" t="s">
        <v>3</v>
      </c>
      <c r="C6" s="144">
        <f>'START HERE'!K3</f>
        <v>2018</v>
      </c>
      <c r="D6" s="145"/>
      <c r="E6" s="146"/>
      <c r="F6" s="6"/>
      <c r="G6" s="6"/>
      <c r="H6" s="13" t="s">
        <v>16</v>
      </c>
      <c r="I6" s="384">
        <f>'START HERE'!$F8</f>
        <v>42252</v>
      </c>
      <c r="J6" s="385"/>
      <c r="K6" s="149"/>
      <c r="L6" s="6"/>
      <c r="M6" s="96"/>
      <c r="N6" s="96"/>
      <c r="O6" s="6"/>
      <c r="P6" s="96"/>
      <c r="Q6" s="96"/>
      <c r="R6" s="96"/>
      <c r="S6" s="96"/>
      <c r="T6" s="331"/>
      <c r="U6" s="330"/>
      <c r="V6" s="330"/>
    </row>
    <row r="7" spans="1:22" s="7" customFormat="1" ht="13.5" customHeight="1" thickBot="1">
      <c r="A7" s="8"/>
      <c r="B7" s="9"/>
      <c r="C7" s="6"/>
      <c r="D7" s="6"/>
      <c r="E7" s="6"/>
      <c r="F7" s="6"/>
      <c r="G7" s="6"/>
      <c r="H7" s="6"/>
      <c r="I7" s="6"/>
      <c r="J7" s="6"/>
      <c r="K7" s="6"/>
      <c r="L7" s="6"/>
      <c r="M7" s="6"/>
      <c r="N7" s="6"/>
      <c r="O7" s="6"/>
      <c r="P7" s="6"/>
      <c r="Q7" s="6"/>
      <c r="R7" s="6"/>
      <c r="S7" s="6"/>
      <c r="T7" s="330"/>
      <c r="U7" s="330"/>
      <c r="V7" s="330"/>
    </row>
    <row r="8" spans="1:22" s="89" customFormat="1" ht="18" customHeight="1" thickBot="1">
      <c r="A8" s="119"/>
      <c r="B8" s="120"/>
      <c r="C8" s="408" t="s">
        <v>61</v>
      </c>
      <c r="D8" s="409"/>
      <c r="E8" s="118"/>
      <c r="F8" s="194" t="s">
        <v>37</v>
      </c>
      <c r="G8" s="117"/>
      <c r="H8" s="118"/>
      <c r="I8" s="194" t="s">
        <v>38</v>
      </c>
      <c r="J8" s="117"/>
      <c r="K8" s="118"/>
      <c r="L8" s="194" t="s">
        <v>39</v>
      </c>
      <c r="M8" s="117"/>
      <c r="N8" s="118"/>
      <c r="O8" s="116" t="s">
        <v>48</v>
      </c>
      <c r="P8" s="117"/>
      <c r="Q8" s="118"/>
      <c r="R8" s="122"/>
      <c r="S8" s="122"/>
      <c r="T8" s="332"/>
      <c r="U8" s="332"/>
      <c r="V8" s="332"/>
    </row>
    <row r="9" spans="1:22" s="7" customFormat="1" ht="13.5" customHeight="1" thickBot="1">
      <c r="A9" s="152"/>
      <c r="B9" s="152"/>
      <c r="C9" s="17" t="s">
        <v>4</v>
      </c>
      <c r="D9" s="153" t="s">
        <v>5</v>
      </c>
      <c r="E9" s="16" t="s">
        <v>5</v>
      </c>
      <c r="F9" s="17" t="s">
        <v>4</v>
      </c>
      <c r="G9" s="15" t="s">
        <v>5</v>
      </c>
      <c r="H9" s="16" t="s">
        <v>5</v>
      </c>
      <c r="I9" s="17" t="s">
        <v>4</v>
      </c>
      <c r="J9" s="15" t="s">
        <v>5</v>
      </c>
      <c r="K9" s="16" t="s">
        <v>5</v>
      </c>
      <c r="L9" s="17" t="s">
        <v>4</v>
      </c>
      <c r="M9" s="15" t="s">
        <v>5</v>
      </c>
      <c r="N9" s="16" t="s">
        <v>5</v>
      </c>
      <c r="O9" s="17" t="s">
        <v>4</v>
      </c>
      <c r="P9" s="15" t="s">
        <v>5</v>
      </c>
      <c r="Q9" s="16" t="s">
        <v>5</v>
      </c>
      <c r="R9" s="6"/>
      <c r="S9" s="6"/>
      <c r="T9" s="330"/>
      <c r="U9" s="330"/>
      <c r="V9" s="330"/>
    </row>
    <row r="10" spans="1:22" s="7" customFormat="1" ht="13.5" customHeight="1">
      <c r="A10" s="14"/>
      <c r="B10" s="214" t="s">
        <v>90</v>
      </c>
      <c r="C10" s="20" t="s">
        <v>6</v>
      </c>
      <c r="D10" s="18" t="s">
        <v>47</v>
      </c>
      <c r="E10" s="19" t="s">
        <v>7</v>
      </c>
      <c r="F10" s="20" t="s">
        <v>6</v>
      </c>
      <c r="G10" s="18" t="s">
        <v>47</v>
      </c>
      <c r="H10" s="19" t="s">
        <v>7</v>
      </c>
      <c r="I10" s="20" t="s">
        <v>6</v>
      </c>
      <c r="J10" s="18" t="s">
        <v>47</v>
      </c>
      <c r="K10" s="19" t="s">
        <v>7</v>
      </c>
      <c r="L10" s="20" t="s">
        <v>6</v>
      </c>
      <c r="M10" s="18" t="s">
        <v>47</v>
      </c>
      <c r="N10" s="19" t="s">
        <v>7</v>
      </c>
      <c r="O10" s="20" t="s">
        <v>6</v>
      </c>
      <c r="P10" s="18" t="s">
        <v>47</v>
      </c>
      <c r="Q10" s="19" t="s">
        <v>7</v>
      </c>
      <c r="R10" s="6"/>
      <c r="S10" s="6"/>
    </row>
    <row r="11" spans="1:22" s="7" customFormat="1" ht="15" customHeight="1" thickBot="1">
      <c r="A11" s="151"/>
      <c r="B11" s="102"/>
      <c r="C11" s="103" t="s">
        <v>132</v>
      </c>
      <c r="D11" s="101" t="s">
        <v>49</v>
      </c>
      <c r="E11" s="102" t="s">
        <v>58</v>
      </c>
      <c r="F11" s="103" t="s">
        <v>132</v>
      </c>
      <c r="G11" s="101" t="s">
        <v>49</v>
      </c>
      <c r="H11" s="102" t="s">
        <v>58</v>
      </c>
      <c r="I11" s="103" t="s">
        <v>132</v>
      </c>
      <c r="J11" s="101" t="s">
        <v>49</v>
      </c>
      <c r="K11" s="102" t="s">
        <v>58</v>
      </c>
      <c r="L11" s="103" t="s">
        <v>132</v>
      </c>
      <c r="M11" s="101" t="s">
        <v>49</v>
      </c>
      <c r="N11" s="102" t="s">
        <v>58</v>
      </c>
      <c r="O11" s="103" t="s">
        <v>132</v>
      </c>
      <c r="P11" s="101" t="s">
        <v>49</v>
      </c>
      <c r="Q11" s="102" t="s">
        <v>8</v>
      </c>
      <c r="R11" s="6"/>
      <c r="S11" s="6"/>
    </row>
    <row r="12" spans="1:22" s="7" customFormat="1" ht="15" customHeight="1">
      <c r="A12" s="154"/>
      <c r="B12" s="104" t="s">
        <v>9</v>
      </c>
      <c r="C12" s="105"/>
      <c r="D12" s="106"/>
      <c r="E12" s="206"/>
      <c r="F12" s="105"/>
      <c r="G12" s="106"/>
      <c r="H12" s="206"/>
      <c r="I12" s="105"/>
      <c r="J12" s="106"/>
      <c r="K12" s="206"/>
      <c r="L12" s="105"/>
      <c r="M12" s="106"/>
      <c r="N12" s="206"/>
      <c r="O12" s="107">
        <f t="shared" ref="O12:O24" si="0">SUM(C12+F12+I12+L12)</f>
        <v>0</v>
      </c>
      <c r="P12" s="108" t="str">
        <f t="shared" ref="P12:P24" si="1">IF(SUM(D12+G12+J12+M12)&gt;0,(C12*D12+F12*G12+I12*J12+L12*M12)/SUM(C12+F12+I12+L12),"")</f>
        <v/>
      </c>
      <c r="Q12" s="208" t="str">
        <f t="shared" ref="Q12:Q24" si="2">IF(SUM(E12,H12,K12,N12)&gt;0,SUM(C12*E12+F12*H12+I12*K12+L12*N12)/SUM(C12+F12+I12+L12),"")</f>
        <v/>
      </c>
      <c r="R12" s="6"/>
      <c r="S12" s="6"/>
    </row>
    <row r="13" spans="1:22" s="7" customFormat="1" ht="15" customHeight="1">
      <c r="A13" s="154"/>
      <c r="B13" s="104" t="s">
        <v>50</v>
      </c>
      <c r="C13" s="109"/>
      <c r="D13" s="110"/>
      <c r="E13" s="207"/>
      <c r="F13" s="109"/>
      <c r="G13" s="110"/>
      <c r="H13" s="207"/>
      <c r="I13" s="109"/>
      <c r="J13" s="110"/>
      <c r="K13" s="207"/>
      <c r="L13" s="109"/>
      <c r="M13" s="110"/>
      <c r="N13" s="207"/>
      <c r="O13" s="107">
        <f t="shared" si="0"/>
        <v>0</v>
      </c>
      <c r="P13" s="108" t="str">
        <f t="shared" si="1"/>
        <v/>
      </c>
      <c r="Q13" s="208" t="str">
        <f t="shared" si="2"/>
        <v/>
      </c>
      <c r="R13" s="6"/>
      <c r="S13" s="6"/>
    </row>
    <row r="14" spans="1:22" s="7" customFormat="1" ht="15" customHeight="1">
      <c r="A14" s="154"/>
      <c r="B14" s="104" t="s">
        <v>51</v>
      </c>
      <c r="C14" s="109"/>
      <c r="D14" s="110"/>
      <c r="E14" s="207"/>
      <c r="F14" s="109"/>
      <c r="G14" s="110"/>
      <c r="H14" s="207"/>
      <c r="I14" s="109"/>
      <c r="J14" s="110"/>
      <c r="K14" s="207"/>
      <c r="L14" s="109"/>
      <c r="M14" s="110"/>
      <c r="N14" s="207"/>
      <c r="O14" s="107">
        <f t="shared" si="0"/>
        <v>0</v>
      </c>
      <c r="P14" s="108" t="str">
        <f t="shared" si="1"/>
        <v/>
      </c>
      <c r="Q14" s="208" t="str">
        <f t="shared" si="2"/>
        <v/>
      </c>
      <c r="R14" s="6"/>
      <c r="S14" s="6"/>
    </row>
    <row r="15" spans="1:22" s="7" customFormat="1" ht="15" customHeight="1">
      <c r="A15" s="154"/>
      <c r="B15" s="104" t="s">
        <v>52</v>
      </c>
      <c r="C15" s="109"/>
      <c r="D15" s="110"/>
      <c r="E15" s="207"/>
      <c r="F15" s="109"/>
      <c r="G15" s="110"/>
      <c r="H15" s="207"/>
      <c r="I15" s="109"/>
      <c r="J15" s="110"/>
      <c r="K15" s="207"/>
      <c r="L15" s="109"/>
      <c r="M15" s="110"/>
      <c r="N15" s="207"/>
      <c r="O15" s="107">
        <f t="shared" si="0"/>
        <v>0</v>
      </c>
      <c r="P15" s="108" t="str">
        <f t="shared" si="1"/>
        <v/>
      </c>
      <c r="Q15" s="208" t="str">
        <f t="shared" si="2"/>
        <v/>
      </c>
      <c r="R15" s="6"/>
      <c r="S15" s="6"/>
    </row>
    <row r="16" spans="1:22" s="7" customFormat="1" ht="15" customHeight="1">
      <c r="A16" s="154"/>
      <c r="B16" s="104" t="s">
        <v>53</v>
      </c>
      <c r="C16" s="109"/>
      <c r="D16" s="110"/>
      <c r="E16" s="207"/>
      <c r="F16" s="109"/>
      <c r="G16" s="110"/>
      <c r="H16" s="207"/>
      <c r="I16" s="109"/>
      <c r="J16" s="110"/>
      <c r="K16" s="207"/>
      <c r="L16" s="109"/>
      <c r="M16" s="110"/>
      <c r="N16" s="207"/>
      <c r="O16" s="107">
        <f t="shared" si="0"/>
        <v>0</v>
      </c>
      <c r="P16" s="108" t="str">
        <f t="shared" si="1"/>
        <v/>
      </c>
      <c r="Q16" s="208" t="str">
        <f t="shared" si="2"/>
        <v/>
      </c>
      <c r="R16" s="6"/>
      <c r="S16" s="6"/>
    </row>
    <row r="17" spans="1:19" s="7" customFormat="1" ht="15" customHeight="1">
      <c r="A17" s="154"/>
      <c r="B17" s="104" t="s">
        <v>10</v>
      </c>
      <c r="C17" s="109"/>
      <c r="D17" s="110"/>
      <c r="E17" s="207"/>
      <c r="F17" s="109"/>
      <c r="G17" s="110"/>
      <c r="H17" s="207"/>
      <c r="I17" s="109"/>
      <c r="J17" s="110"/>
      <c r="K17" s="207"/>
      <c r="L17" s="109"/>
      <c r="M17" s="110"/>
      <c r="N17" s="207"/>
      <c r="O17" s="107">
        <f t="shared" si="0"/>
        <v>0</v>
      </c>
      <c r="P17" s="108" t="str">
        <f t="shared" si="1"/>
        <v/>
      </c>
      <c r="Q17" s="208" t="str">
        <f t="shared" si="2"/>
        <v/>
      </c>
      <c r="R17" s="6"/>
      <c r="S17" s="6"/>
    </row>
    <row r="18" spans="1:19" s="7" customFormat="1" ht="15" customHeight="1">
      <c r="A18" s="154"/>
      <c r="B18" s="104" t="s">
        <v>11</v>
      </c>
      <c r="C18" s="109"/>
      <c r="D18" s="110"/>
      <c r="E18" s="207"/>
      <c r="F18" s="109"/>
      <c r="G18" s="110"/>
      <c r="H18" s="207"/>
      <c r="I18" s="109"/>
      <c r="J18" s="110"/>
      <c r="K18" s="207"/>
      <c r="L18" s="109"/>
      <c r="M18" s="110"/>
      <c r="N18" s="207"/>
      <c r="O18" s="107">
        <f t="shared" si="0"/>
        <v>0</v>
      </c>
      <c r="P18" s="108" t="str">
        <f t="shared" si="1"/>
        <v/>
      </c>
      <c r="Q18" s="208" t="str">
        <f t="shared" si="2"/>
        <v/>
      </c>
      <c r="R18" s="6"/>
      <c r="S18" s="6"/>
    </row>
    <row r="19" spans="1:19" s="7" customFormat="1" ht="15" customHeight="1">
      <c r="A19" s="154"/>
      <c r="B19" s="104" t="s">
        <v>12</v>
      </c>
      <c r="C19" s="109"/>
      <c r="D19" s="110"/>
      <c r="E19" s="207"/>
      <c r="F19" s="109"/>
      <c r="G19" s="110"/>
      <c r="H19" s="207"/>
      <c r="I19" s="109"/>
      <c r="J19" s="110"/>
      <c r="K19" s="207"/>
      <c r="L19" s="109"/>
      <c r="M19" s="110"/>
      <c r="N19" s="207"/>
      <c r="O19" s="107">
        <f t="shared" si="0"/>
        <v>0</v>
      </c>
      <c r="P19" s="108" t="str">
        <f t="shared" si="1"/>
        <v/>
      </c>
      <c r="Q19" s="208" t="str">
        <f t="shared" si="2"/>
        <v/>
      </c>
      <c r="R19" s="6"/>
      <c r="S19" s="6"/>
    </row>
    <row r="20" spans="1:19" s="7" customFormat="1" ht="15" customHeight="1">
      <c r="A20" s="154"/>
      <c r="B20" s="104" t="s">
        <v>13</v>
      </c>
      <c r="C20" s="109"/>
      <c r="D20" s="110"/>
      <c r="E20" s="207"/>
      <c r="F20" s="109"/>
      <c r="G20" s="110"/>
      <c r="H20" s="207"/>
      <c r="I20" s="109"/>
      <c r="J20" s="110"/>
      <c r="K20" s="207"/>
      <c r="L20" s="109"/>
      <c r="M20" s="110"/>
      <c r="N20" s="207"/>
      <c r="O20" s="107">
        <f t="shared" si="0"/>
        <v>0</v>
      </c>
      <c r="P20" s="108" t="str">
        <f t="shared" si="1"/>
        <v/>
      </c>
      <c r="Q20" s="208" t="str">
        <f t="shared" si="2"/>
        <v/>
      </c>
      <c r="R20" s="6"/>
      <c r="S20" s="6"/>
    </row>
    <row r="21" spans="1:19" s="7" customFormat="1" ht="15" customHeight="1">
      <c r="A21" s="154"/>
      <c r="B21" s="104">
        <v>9</v>
      </c>
      <c r="C21" s="109"/>
      <c r="D21" s="110"/>
      <c r="E21" s="207"/>
      <c r="F21" s="109"/>
      <c r="G21" s="110"/>
      <c r="H21" s="207"/>
      <c r="I21" s="109"/>
      <c r="J21" s="110"/>
      <c r="K21" s="207"/>
      <c r="L21" s="109"/>
      <c r="M21" s="110"/>
      <c r="N21" s="207"/>
      <c r="O21" s="107"/>
      <c r="P21" s="108"/>
      <c r="Q21" s="208"/>
      <c r="R21" s="6"/>
      <c r="S21" s="6"/>
    </row>
    <row r="22" spans="1:19" s="7" customFormat="1" ht="15" customHeight="1">
      <c r="A22" s="154"/>
      <c r="B22" s="104">
        <v>10</v>
      </c>
      <c r="C22" s="109"/>
      <c r="D22" s="110"/>
      <c r="E22" s="207"/>
      <c r="F22" s="109"/>
      <c r="G22" s="110"/>
      <c r="H22" s="207"/>
      <c r="I22" s="109"/>
      <c r="J22" s="110"/>
      <c r="K22" s="207"/>
      <c r="L22" s="109"/>
      <c r="M22" s="110"/>
      <c r="N22" s="207"/>
      <c r="O22" s="107"/>
      <c r="P22" s="108"/>
      <c r="Q22" s="208"/>
      <c r="R22" s="6"/>
      <c r="S22" s="6"/>
    </row>
    <row r="23" spans="1:19" s="7" customFormat="1" ht="15" customHeight="1">
      <c r="A23" s="154"/>
      <c r="B23" s="104">
        <v>11</v>
      </c>
      <c r="C23" s="109"/>
      <c r="D23" s="110"/>
      <c r="E23" s="207"/>
      <c r="F23" s="109"/>
      <c r="G23" s="110"/>
      <c r="H23" s="207"/>
      <c r="I23" s="109"/>
      <c r="J23" s="110"/>
      <c r="K23" s="207"/>
      <c r="L23" s="109"/>
      <c r="M23" s="110"/>
      <c r="N23" s="207"/>
      <c r="O23" s="107"/>
      <c r="P23" s="108"/>
      <c r="Q23" s="208"/>
      <c r="R23" s="6"/>
      <c r="S23" s="6"/>
    </row>
    <row r="24" spans="1:19" s="7" customFormat="1" ht="15" customHeight="1" thickBot="1">
      <c r="A24" s="195" t="s">
        <v>14</v>
      </c>
      <c r="B24" s="104" t="s">
        <v>91</v>
      </c>
      <c r="C24" s="109"/>
      <c r="D24" s="110"/>
      <c r="E24" s="207"/>
      <c r="F24" s="109"/>
      <c r="G24" s="110"/>
      <c r="H24" s="207"/>
      <c r="I24" s="109"/>
      <c r="J24" s="110"/>
      <c r="K24" s="207"/>
      <c r="L24" s="109"/>
      <c r="M24" s="110"/>
      <c r="N24" s="207"/>
      <c r="O24" s="107">
        <f t="shared" si="0"/>
        <v>0</v>
      </c>
      <c r="P24" s="108" t="str">
        <f t="shared" si="1"/>
        <v/>
      </c>
      <c r="Q24" s="208" t="str">
        <f t="shared" si="2"/>
        <v/>
      </c>
      <c r="R24" s="6"/>
      <c r="S24" s="6"/>
    </row>
    <row r="25" spans="1:19" s="7" customFormat="1" ht="15" customHeight="1" thickBot="1">
      <c r="A25" s="5"/>
      <c r="B25" s="163" t="s">
        <v>24</v>
      </c>
      <c r="C25" s="80" t="str">
        <f>IF(SUM(C12:C24)&gt;0,SUM(C12:C24),"na")</f>
        <v>na</v>
      </c>
      <c r="D25" s="23" t="str">
        <f>IF(SUM(D12:D24)&gt;0,SUMPRODUCT(C12:C24,D12:D24)/C25,"na")</f>
        <v>na</v>
      </c>
      <c r="E25" s="210" t="str">
        <f>IF(SUM(E12:E24)&gt;0,SUMPRODUCT(C12:C24,E12:E24)/C25,"na")</f>
        <v>na</v>
      </c>
      <c r="F25" s="80" t="str">
        <f>IF(SUM(F12:F24)&gt;0,SUM(F12:F24),"na")</f>
        <v>na</v>
      </c>
      <c r="G25" s="23" t="str">
        <f>IF(SUM(G12:G24)&gt;0,SUMPRODUCT(F12:F24,G12:G24)/F25,"na")</f>
        <v>na</v>
      </c>
      <c r="H25" s="24" t="str">
        <f>IF(SUM(H12:H24)&gt;0,SUMPRODUCT(F12:F24,H12:H24)/F25,"na")</f>
        <v>na</v>
      </c>
      <c r="I25" s="80" t="str">
        <f>IF(SUM(I12:I24)&gt;0,SUM(I12:I24),"na")</f>
        <v>na</v>
      </c>
      <c r="J25" s="23" t="str">
        <f>IF(SUM(J12:J24)&gt;0,SUMPRODUCT(I12:I24,J12:J24)/I25,"na")</f>
        <v>na</v>
      </c>
      <c r="K25" s="210" t="str">
        <f>IF(SUM(K12:K24)&gt;0,SUMPRODUCT(I12:I24,K12:K24)/I25,"na")</f>
        <v>na</v>
      </c>
      <c r="L25" s="80" t="str">
        <f>IF(SUM(L12:L24)&gt;0,SUM(L12:L24),"na")</f>
        <v>na</v>
      </c>
      <c r="M25" s="23" t="str">
        <f>IF(SUM(M12:M24)&gt;0,SUMPRODUCT(L12:L24,M12:M24)/L25,"na")</f>
        <v>na</v>
      </c>
      <c r="N25" s="24" t="str">
        <f>IF(SUM(N12:N24)&gt;0,SUMPRODUCT(L12:L24,N12:N24)/L25,"na")</f>
        <v>na</v>
      </c>
      <c r="O25" s="80" t="str">
        <f>IF(SUM(O12:O24)&gt;0,SUM(O12:O24),"na")</f>
        <v>na</v>
      </c>
      <c r="P25" s="23" t="str">
        <f>IF(SUM(P12:P24)&gt;0,SUMPRODUCT(O12:O24,P12:P24)/O25,"na")</f>
        <v>na</v>
      </c>
      <c r="Q25" s="25" t="str">
        <f>IF(SUM(Q12:Q24)&gt;0,SUMPRODUCT(O12:O24,Q12:Q24)/O25,"na")</f>
        <v>na</v>
      </c>
      <c r="R25" s="6"/>
      <c r="S25" s="6"/>
    </row>
    <row r="26" spans="1:19" s="121" customFormat="1" ht="6.75" customHeight="1" thickBot="1">
      <c r="A26" s="4"/>
      <c r="B26" s="4"/>
      <c r="C26" s="131"/>
      <c r="D26" s="132"/>
      <c r="E26" s="133"/>
      <c r="F26" s="139"/>
      <c r="G26" s="140"/>
      <c r="H26" s="133"/>
      <c r="I26" s="139"/>
      <c r="J26" s="140"/>
      <c r="K26" s="133"/>
      <c r="L26" s="139"/>
      <c r="M26" s="140"/>
      <c r="N26" s="133"/>
      <c r="O26" s="139"/>
      <c r="P26" s="141"/>
      <c r="Q26" s="142"/>
      <c r="R26" s="42"/>
      <c r="S26" s="42"/>
    </row>
    <row r="27" spans="1:19" s="7" customFormat="1" ht="13.5" customHeight="1">
      <c r="A27" s="4"/>
      <c r="B27" s="4"/>
      <c r="C27" s="134" t="s">
        <v>144</v>
      </c>
      <c r="D27" s="203"/>
      <c r="E27" s="135" t="s">
        <v>26</v>
      </c>
      <c r="F27" s="134" t="s">
        <v>144</v>
      </c>
      <c r="G27" s="203"/>
      <c r="H27" s="135" t="s">
        <v>26</v>
      </c>
      <c r="I27" s="134" t="s">
        <v>144</v>
      </c>
      <c r="J27" s="203"/>
      <c r="K27" s="135" t="s">
        <v>26</v>
      </c>
      <c r="L27" s="134" t="s">
        <v>144</v>
      </c>
      <c r="M27" s="203"/>
      <c r="N27" s="135" t="s">
        <v>26</v>
      </c>
      <c r="O27" s="134" t="s">
        <v>144</v>
      </c>
      <c r="P27" s="111">
        <f>SUM(M27,J27,G27,D27)</f>
        <v>0</v>
      </c>
      <c r="Q27" s="135" t="s">
        <v>26</v>
      </c>
      <c r="R27" s="6"/>
      <c r="S27" s="6"/>
    </row>
    <row r="28" spans="1:19" s="7" customFormat="1" ht="13.5" customHeight="1">
      <c r="A28" s="8"/>
      <c r="B28" s="4"/>
      <c r="C28" s="134" t="s">
        <v>27</v>
      </c>
      <c r="D28" s="112" t="str">
        <f>IF(SUM(E12:E24)&gt;0,(C25*E25),"na")</f>
        <v>na</v>
      </c>
      <c r="E28" s="135" t="s">
        <v>26</v>
      </c>
      <c r="F28" s="134" t="s">
        <v>27</v>
      </c>
      <c r="G28" s="112" t="str">
        <f>IF(SUM(H12:H24)&gt;0,(F25*H25),"na")</f>
        <v>na</v>
      </c>
      <c r="H28" s="135" t="s">
        <v>26</v>
      </c>
      <c r="I28" s="134" t="s">
        <v>27</v>
      </c>
      <c r="J28" s="112" t="str">
        <f>IF(SUM(K12:K24)&gt;0,(I25*K25),"na")</f>
        <v>na</v>
      </c>
      <c r="K28" s="135" t="s">
        <v>26</v>
      </c>
      <c r="L28" s="134" t="s">
        <v>27</v>
      </c>
      <c r="M28" s="112" t="str">
        <f>IF(SUM(N12:N24)&gt;0,(L25*N25),"na")</f>
        <v>na</v>
      </c>
      <c r="N28" s="135" t="s">
        <v>26</v>
      </c>
      <c r="O28" s="134" t="s">
        <v>27</v>
      </c>
      <c r="P28" s="112" t="str">
        <f>IF(SUM(Q12:Q24)&gt;0,(O25*Q25),"na")</f>
        <v>na</v>
      </c>
      <c r="Q28" s="135" t="s">
        <v>26</v>
      </c>
      <c r="R28" s="6"/>
      <c r="S28" s="6"/>
    </row>
    <row r="29" spans="1:19" s="7" customFormat="1" ht="13.5" customHeight="1" thickBot="1">
      <c r="A29" s="8"/>
      <c r="B29" s="4"/>
      <c r="C29" s="134" t="s">
        <v>27</v>
      </c>
      <c r="D29" s="113" t="str">
        <f>IF(SUM(E12:E24)&gt;0,D28/D27,"na")</f>
        <v>na</v>
      </c>
      <c r="E29" s="136" t="s">
        <v>28</v>
      </c>
      <c r="F29" s="134" t="s">
        <v>27</v>
      </c>
      <c r="G29" s="113" t="str">
        <f>IF(SUM(H12:H24)&gt;0,G28/G27,"na")</f>
        <v>na</v>
      </c>
      <c r="H29" s="136" t="s">
        <v>28</v>
      </c>
      <c r="I29" s="134" t="s">
        <v>27</v>
      </c>
      <c r="J29" s="113" t="str">
        <f>IF(SUM(K12:K24)&gt;0,J28/J27,"na")</f>
        <v>na</v>
      </c>
      <c r="K29" s="136" t="s">
        <v>28</v>
      </c>
      <c r="L29" s="134" t="s">
        <v>27</v>
      </c>
      <c r="M29" s="113" t="str">
        <f>IF(SUM(N12:N24)&gt;0,M28/M27,"na")</f>
        <v>na</v>
      </c>
      <c r="N29" s="136" t="s">
        <v>28</v>
      </c>
      <c r="O29" s="134" t="s">
        <v>27</v>
      </c>
      <c r="P29" s="113" t="str">
        <f>IF(SUM(Q12:Q24)&gt;0,P28/P27,"na")</f>
        <v>na</v>
      </c>
      <c r="Q29" s="136" t="s">
        <v>28</v>
      </c>
      <c r="R29" s="6"/>
      <c r="S29" s="6"/>
    </row>
    <row r="30" spans="1:19" s="6" customFormat="1" ht="6" customHeight="1" thickBot="1">
      <c r="A30" s="8"/>
      <c r="B30" s="4"/>
      <c r="C30" s="137"/>
      <c r="D30" s="36"/>
      <c r="E30" s="136"/>
      <c r="F30" s="137"/>
      <c r="G30" s="36"/>
      <c r="H30" s="136"/>
      <c r="I30" s="137"/>
      <c r="J30" s="36"/>
      <c r="K30" s="136"/>
      <c r="L30" s="137"/>
      <c r="M30" s="36"/>
      <c r="N30" s="136"/>
      <c r="O30" s="137"/>
      <c r="P30" s="36"/>
      <c r="Q30" s="136"/>
    </row>
    <row r="31" spans="1:19" s="6" customFormat="1" ht="13.5" customHeight="1" thickBot="1">
      <c r="A31" s="8"/>
      <c r="B31" s="4"/>
      <c r="C31" s="134" t="s">
        <v>29</v>
      </c>
      <c r="D31" s="204"/>
      <c r="E31" s="136" t="s">
        <v>30</v>
      </c>
      <c r="F31" s="134" t="s">
        <v>29</v>
      </c>
      <c r="G31" s="204"/>
      <c r="H31" s="136" t="s">
        <v>30</v>
      </c>
      <c r="I31" s="134" t="s">
        <v>29</v>
      </c>
      <c r="J31" s="204"/>
      <c r="K31" s="136" t="s">
        <v>30</v>
      </c>
      <c r="L31" s="134" t="s">
        <v>29</v>
      </c>
      <c r="M31" s="205"/>
      <c r="N31" s="136" t="s">
        <v>30</v>
      </c>
      <c r="O31" s="134" t="s">
        <v>29</v>
      </c>
      <c r="P31" s="114"/>
      <c r="Q31" s="136" t="s">
        <v>30</v>
      </c>
    </row>
    <row r="32" spans="1:19" s="7" customFormat="1" ht="6.75" customHeight="1" thickBot="1">
      <c r="A32" s="8"/>
      <c r="B32" s="9"/>
      <c r="C32" s="138"/>
      <c r="D32" s="129"/>
      <c r="E32" s="130"/>
      <c r="F32" s="138"/>
      <c r="G32" s="129"/>
      <c r="H32" s="130"/>
      <c r="I32" s="138"/>
      <c r="J32" s="129"/>
      <c r="K32" s="130"/>
      <c r="L32" s="138"/>
      <c r="M32" s="129"/>
      <c r="N32" s="130"/>
      <c r="O32" s="138"/>
      <c r="P32" s="129"/>
      <c r="Q32" s="130"/>
      <c r="R32" s="6"/>
      <c r="S32" s="6"/>
    </row>
    <row r="33" spans="1:22" s="7" customFormat="1" ht="15.5">
      <c r="A33" s="123" t="s">
        <v>31</v>
      </c>
      <c r="B33" s="124"/>
      <c r="C33" s="124"/>
      <c r="D33" s="124"/>
      <c r="E33" s="124"/>
      <c r="F33" s="125"/>
      <c r="G33" s="125"/>
      <c r="H33" s="125"/>
      <c r="I33" s="125"/>
      <c r="J33" s="125"/>
      <c r="K33" s="125"/>
      <c r="L33" s="125"/>
      <c r="M33" s="125"/>
      <c r="N33" s="125"/>
      <c r="O33" s="125"/>
      <c r="P33" s="125"/>
      <c r="Q33" s="126"/>
      <c r="R33" s="6"/>
      <c r="S33" s="6"/>
    </row>
    <row r="34" spans="1:22" s="7" customFormat="1" ht="16" thickBot="1">
      <c r="A34" s="127" t="s">
        <v>0</v>
      </c>
      <c r="B34" s="128"/>
      <c r="C34" s="128"/>
      <c r="D34" s="128"/>
      <c r="E34" s="128"/>
      <c r="F34" s="129"/>
      <c r="G34" s="129"/>
      <c r="H34" s="129"/>
      <c r="I34" s="129"/>
      <c r="J34" s="129"/>
      <c r="K34" s="129"/>
      <c r="L34" s="129"/>
      <c r="M34" s="129"/>
      <c r="N34" s="129"/>
      <c r="O34" s="129"/>
      <c r="P34" s="129"/>
      <c r="Q34" s="130"/>
      <c r="R34" s="6"/>
      <c r="S34" s="6"/>
    </row>
    <row r="35" spans="1:22" s="7" customFormat="1" ht="12.5">
      <c r="A35" s="115"/>
      <c r="B35" s="115"/>
      <c r="C35" s="115"/>
      <c r="D35" s="115"/>
      <c r="E35" s="115"/>
      <c r="F35" s="6"/>
      <c r="G35" s="6"/>
      <c r="H35" s="6"/>
      <c r="I35" s="6"/>
      <c r="J35" s="6"/>
      <c r="K35" s="6"/>
      <c r="L35" s="6"/>
      <c r="M35" s="6"/>
      <c r="N35" s="6"/>
      <c r="O35" s="6"/>
      <c r="P35" s="6"/>
      <c r="Q35" s="6"/>
      <c r="R35" s="6"/>
      <c r="S35" s="6"/>
      <c r="T35" s="6"/>
      <c r="U35" s="6"/>
      <c r="V35" s="6"/>
    </row>
    <row r="36" spans="1:22" s="7" customFormat="1">
      <c r="A36" s="8"/>
      <c r="B36" s="9"/>
      <c r="C36" s="6"/>
      <c r="D36" s="6"/>
      <c r="E36" s="6"/>
      <c r="F36" s="6"/>
      <c r="G36" s="6"/>
      <c r="H36" s="6"/>
      <c r="I36" s="6"/>
      <c r="J36" s="6"/>
      <c r="K36" s="6"/>
      <c r="L36" s="6"/>
      <c r="M36" s="6"/>
      <c r="N36" s="6"/>
      <c r="O36" s="6"/>
      <c r="P36" s="6"/>
      <c r="Q36" s="6"/>
      <c r="R36" s="6"/>
      <c r="S36" s="6"/>
      <c r="T36" s="6"/>
      <c r="U36" s="6"/>
      <c r="V36" s="6"/>
    </row>
    <row r="37" spans="1:22" s="7" customFormat="1">
      <c r="A37" s="8"/>
      <c r="B37" s="9"/>
      <c r="C37" s="6"/>
      <c r="D37" s="6"/>
      <c r="E37" s="6"/>
      <c r="F37" s="6"/>
      <c r="G37" s="6"/>
      <c r="H37" s="6"/>
      <c r="I37" s="6"/>
      <c r="J37" s="6"/>
      <c r="K37" s="6"/>
      <c r="L37" s="6"/>
      <c r="M37" s="6"/>
      <c r="N37" s="6"/>
      <c r="O37" s="6"/>
      <c r="P37" s="6"/>
      <c r="Q37" s="6"/>
      <c r="R37" s="6"/>
      <c r="S37" s="6"/>
      <c r="T37" s="6"/>
      <c r="U37" s="6"/>
      <c r="V37" s="6"/>
    </row>
  </sheetData>
  <mergeCells count="2">
    <mergeCell ref="C8:D8"/>
    <mergeCell ref="I6:J6"/>
  </mergeCells>
  <phoneticPr fontId="37" type="noConversion"/>
  <dataValidations count="1">
    <dataValidation type="decimal" errorStyle="warning" allowBlank="1" showInputMessage="1" showErrorMessage="1" errorTitle="Please Check!" error="Confirm that the value you have entered is correct" sqref="N12:N24 H12:H24 K12:K24 E12:E24" xr:uid="{00000000-0002-0000-1200-000000000000}">
      <formula1>0.06</formula1>
      <formula2>1.5</formula2>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39"/>
  <sheetViews>
    <sheetView zoomScale="90" zoomScaleNormal="90" workbookViewId="0">
      <selection activeCell="C4" sqref="C4"/>
    </sheetView>
  </sheetViews>
  <sheetFormatPr defaultColWidth="11.54296875" defaultRowHeight="13"/>
  <cols>
    <col min="1" max="1" width="9.1796875" style="2" customWidth="1"/>
    <col min="2" max="2" width="7.26953125" style="1" customWidth="1"/>
    <col min="3" max="3" width="17.1796875" bestFit="1" customWidth="1"/>
    <col min="4" max="5" width="9.453125" customWidth="1"/>
    <col min="6" max="6" width="16" bestFit="1" customWidth="1"/>
    <col min="7" max="8" width="9.453125" customWidth="1"/>
    <col min="9" max="9" width="16" bestFit="1" customWidth="1"/>
    <col min="10" max="11" width="9.453125" customWidth="1"/>
    <col min="12" max="12" width="16" bestFit="1" customWidth="1"/>
    <col min="13" max="14" width="9.453125" customWidth="1"/>
    <col min="15" max="15" width="16" bestFit="1" customWidth="1"/>
    <col min="16" max="17" width="9.453125" customWidth="1"/>
    <col min="18" max="20" width="8.1796875" customWidth="1"/>
  </cols>
  <sheetData>
    <row r="1" spans="1:22" s="7" customFormat="1" ht="19.5" customHeight="1">
      <c r="A1" s="34" t="s">
        <v>62</v>
      </c>
      <c r="B1" s="9"/>
      <c r="C1" s="6"/>
      <c r="D1" s="6"/>
      <c r="E1" s="6"/>
      <c r="F1" s="6"/>
      <c r="G1" s="6"/>
      <c r="H1" s="94" t="s">
        <v>23</v>
      </c>
      <c r="I1" s="6"/>
      <c r="J1" s="6"/>
      <c r="K1" s="6"/>
      <c r="L1" s="6"/>
      <c r="M1" s="6"/>
      <c r="N1" s="6"/>
      <c r="O1" s="6"/>
      <c r="P1" s="6"/>
      <c r="Q1" s="6"/>
      <c r="R1" s="6"/>
      <c r="S1" s="6"/>
      <c r="T1" s="330"/>
      <c r="U1" s="330"/>
      <c r="V1" s="330"/>
    </row>
    <row r="2" spans="1:22" s="7" customFormat="1" ht="19.5" customHeight="1">
      <c r="A2" s="350" t="s">
        <v>143</v>
      </c>
      <c r="B2" s="9"/>
      <c r="C2" s="6"/>
      <c r="D2" s="6"/>
      <c r="E2" s="6"/>
      <c r="F2" s="6"/>
      <c r="G2" s="6"/>
      <c r="H2" s="95" t="s">
        <v>1</v>
      </c>
      <c r="I2" s="6"/>
      <c r="J2" s="6"/>
      <c r="K2" s="6"/>
      <c r="L2" s="6"/>
      <c r="M2" s="6"/>
      <c r="N2" s="6"/>
      <c r="O2" s="6"/>
      <c r="P2" s="6"/>
      <c r="Q2" s="6"/>
      <c r="R2" s="6"/>
      <c r="S2" s="6"/>
      <c r="T2" s="330"/>
      <c r="U2" s="330"/>
      <c r="V2" s="330"/>
    </row>
    <row r="3" spans="1:22" s="7" customFormat="1" ht="13.5" customHeight="1" thickBot="1">
      <c r="A3" s="87"/>
      <c r="B3" s="9"/>
      <c r="C3" s="6"/>
      <c r="D3" s="6"/>
      <c r="E3" s="6"/>
      <c r="F3" s="6"/>
      <c r="G3" s="6"/>
      <c r="H3" s="88"/>
      <c r="I3" s="6"/>
      <c r="J3" s="6"/>
      <c r="K3" s="6"/>
      <c r="L3" s="6"/>
      <c r="M3" s="96"/>
      <c r="N3" s="96"/>
      <c r="O3" s="6"/>
      <c r="P3" s="96"/>
      <c r="Q3" s="96"/>
      <c r="R3" s="96"/>
      <c r="S3" s="96"/>
      <c r="T3" s="331"/>
      <c r="U3" s="330"/>
      <c r="V3" s="330"/>
    </row>
    <row r="4" spans="1:22" s="7" customFormat="1" ht="19.5" customHeight="1">
      <c r="A4" s="8"/>
      <c r="B4" s="346" t="s">
        <v>135</v>
      </c>
      <c r="C4" s="147" t="str">
        <f>'START HERE'!F6</f>
        <v>Korea</v>
      </c>
      <c r="D4" s="164"/>
      <c r="E4" s="21"/>
      <c r="F4" s="6"/>
      <c r="G4" s="6"/>
      <c r="H4" s="215" t="s">
        <v>45</v>
      </c>
      <c r="I4" s="219" t="s">
        <v>95</v>
      </c>
      <c r="J4" s="218"/>
      <c r="K4" s="98"/>
      <c r="L4" s="6"/>
      <c r="M4" s="96"/>
      <c r="N4" s="96"/>
      <c r="O4" s="6"/>
      <c r="P4" s="96"/>
      <c r="Q4" s="96"/>
      <c r="R4" s="96"/>
      <c r="S4" s="96"/>
      <c r="T4" s="331"/>
      <c r="U4" s="330"/>
      <c r="V4" s="330"/>
    </row>
    <row r="5" spans="1:22" s="7" customFormat="1" ht="19.5" customHeight="1">
      <c r="A5" s="8"/>
      <c r="B5" s="13" t="s">
        <v>2</v>
      </c>
      <c r="C5" s="148" t="str">
        <f>'START HERE'!F5</f>
        <v>Jack mackerel</v>
      </c>
      <c r="D5" s="166"/>
      <c r="E5" s="22"/>
      <c r="F5" s="165"/>
      <c r="G5" s="165"/>
      <c r="H5" s="13"/>
      <c r="I5" s="212"/>
      <c r="J5" s="99"/>
      <c r="K5" s="100"/>
      <c r="L5" s="6"/>
      <c r="M5" s="96"/>
      <c r="N5" s="96"/>
      <c r="O5" s="6"/>
      <c r="P5" s="96"/>
      <c r="Q5" s="96"/>
      <c r="R5" s="96"/>
      <c r="S5" s="96"/>
      <c r="T5" s="331"/>
      <c r="U5" s="330"/>
      <c r="V5" s="330"/>
    </row>
    <row r="6" spans="1:22" s="7" customFormat="1" ht="18.75" customHeight="1" thickBot="1">
      <c r="A6" s="8"/>
      <c r="B6" s="13" t="s">
        <v>3</v>
      </c>
      <c r="C6" s="144">
        <f>'START HERE'!K3</f>
        <v>2018</v>
      </c>
      <c r="D6" s="145"/>
      <c r="E6" s="146"/>
      <c r="F6" s="6"/>
      <c r="G6" s="6"/>
      <c r="H6" s="13" t="s">
        <v>16</v>
      </c>
      <c r="I6" s="384">
        <f>'START HERE'!$F8</f>
        <v>42252</v>
      </c>
      <c r="J6" s="385"/>
      <c r="K6" s="149"/>
      <c r="L6" s="6"/>
      <c r="M6" s="96"/>
      <c r="N6" s="96"/>
      <c r="O6" s="6"/>
      <c r="P6" s="96"/>
      <c r="Q6" s="96"/>
      <c r="R6" s="96"/>
      <c r="S6" s="96"/>
      <c r="T6" s="331"/>
      <c r="U6" s="330"/>
      <c r="V6" s="330"/>
    </row>
    <row r="7" spans="1:22" s="7" customFormat="1" ht="13.5" customHeight="1" thickBot="1">
      <c r="A7" s="8"/>
      <c r="B7" s="9"/>
      <c r="C7" s="6"/>
      <c r="D7" s="6"/>
      <c r="E7" s="6"/>
      <c r="F7" s="6"/>
      <c r="G7" s="6"/>
      <c r="H7" s="6"/>
      <c r="I7" s="6"/>
      <c r="J7" s="6"/>
      <c r="K7" s="6"/>
      <c r="L7" s="6"/>
      <c r="M7" s="6"/>
      <c r="N7" s="6"/>
      <c r="O7" s="6"/>
      <c r="P7" s="6"/>
      <c r="Q7" s="6"/>
      <c r="R7" s="6"/>
      <c r="S7" s="6"/>
      <c r="T7" s="330"/>
      <c r="U7" s="330"/>
      <c r="V7" s="330"/>
    </row>
    <row r="8" spans="1:22" s="89" customFormat="1" ht="18" customHeight="1" thickBot="1">
      <c r="A8" s="119"/>
      <c r="B8" s="120"/>
      <c r="C8" s="408" t="s">
        <v>61</v>
      </c>
      <c r="D8" s="409"/>
      <c r="E8" s="118"/>
      <c r="F8" s="194" t="s">
        <v>37</v>
      </c>
      <c r="G8" s="117"/>
      <c r="H8" s="118"/>
      <c r="I8" s="194" t="s">
        <v>38</v>
      </c>
      <c r="J8" s="117"/>
      <c r="K8" s="118"/>
      <c r="L8" s="194" t="s">
        <v>39</v>
      </c>
      <c r="M8" s="117"/>
      <c r="N8" s="118"/>
      <c r="O8" s="116" t="s">
        <v>48</v>
      </c>
      <c r="P8" s="117"/>
      <c r="Q8" s="118"/>
      <c r="R8" s="122"/>
      <c r="S8" s="122"/>
      <c r="T8" s="332"/>
      <c r="U8" s="332"/>
      <c r="V8" s="332"/>
    </row>
    <row r="9" spans="1:22" s="7" customFormat="1" ht="13.5" customHeight="1" thickBot="1">
      <c r="A9" s="152"/>
      <c r="B9" s="152"/>
      <c r="C9" s="17" t="s">
        <v>4</v>
      </c>
      <c r="D9" s="153" t="s">
        <v>5</v>
      </c>
      <c r="E9" s="16" t="s">
        <v>5</v>
      </c>
      <c r="F9" s="17" t="s">
        <v>4</v>
      </c>
      <c r="G9" s="15" t="s">
        <v>5</v>
      </c>
      <c r="H9" s="16" t="s">
        <v>5</v>
      </c>
      <c r="I9" s="17" t="s">
        <v>4</v>
      </c>
      <c r="J9" s="15" t="s">
        <v>5</v>
      </c>
      <c r="K9" s="16" t="s">
        <v>5</v>
      </c>
      <c r="L9" s="17" t="s">
        <v>4</v>
      </c>
      <c r="M9" s="15" t="s">
        <v>5</v>
      </c>
      <c r="N9" s="16" t="s">
        <v>5</v>
      </c>
      <c r="O9" s="17" t="s">
        <v>4</v>
      </c>
      <c r="P9" s="15" t="s">
        <v>5</v>
      </c>
      <c r="Q9" s="16" t="s">
        <v>5</v>
      </c>
      <c r="R9" s="6"/>
      <c r="S9" s="6"/>
      <c r="T9" s="330"/>
      <c r="U9" s="330"/>
      <c r="V9" s="330"/>
    </row>
    <row r="10" spans="1:22" s="7" customFormat="1" ht="13.5" customHeight="1">
      <c r="A10" s="14"/>
      <c r="B10" s="214" t="s">
        <v>90</v>
      </c>
      <c r="C10" s="20" t="s">
        <v>6</v>
      </c>
      <c r="D10" s="18" t="s">
        <v>47</v>
      </c>
      <c r="E10" s="19" t="s">
        <v>7</v>
      </c>
      <c r="F10" s="20" t="s">
        <v>6</v>
      </c>
      <c r="G10" s="18" t="s">
        <v>47</v>
      </c>
      <c r="H10" s="19" t="s">
        <v>7</v>
      </c>
      <c r="I10" s="20" t="s">
        <v>6</v>
      </c>
      <c r="J10" s="18" t="s">
        <v>47</v>
      </c>
      <c r="K10" s="19" t="s">
        <v>7</v>
      </c>
      <c r="L10" s="20" t="s">
        <v>6</v>
      </c>
      <c r="M10" s="18" t="s">
        <v>47</v>
      </c>
      <c r="N10" s="19" t="s">
        <v>7</v>
      </c>
      <c r="O10" s="20" t="s">
        <v>6</v>
      </c>
      <c r="P10" s="18" t="s">
        <v>47</v>
      </c>
      <c r="Q10" s="19" t="s">
        <v>7</v>
      </c>
      <c r="R10" s="6"/>
      <c r="S10" s="6"/>
      <c r="T10" s="330"/>
      <c r="U10" s="330"/>
      <c r="V10" s="330"/>
    </row>
    <row r="11" spans="1:22" s="7" customFormat="1" ht="15" customHeight="1" thickBot="1">
      <c r="A11" s="151"/>
      <c r="B11" s="102"/>
      <c r="C11" s="103" t="s">
        <v>132</v>
      </c>
      <c r="D11" s="101" t="s">
        <v>49</v>
      </c>
      <c r="E11" s="102" t="s">
        <v>58</v>
      </c>
      <c r="F11" s="103" t="s">
        <v>132</v>
      </c>
      <c r="G11" s="101" t="s">
        <v>49</v>
      </c>
      <c r="H11" s="102" t="s">
        <v>58</v>
      </c>
      <c r="I11" s="103" t="s">
        <v>132</v>
      </c>
      <c r="J11" s="101" t="s">
        <v>49</v>
      </c>
      <c r="K11" s="102" t="s">
        <v>58</v>
      </c>
      <c r="L11" s="103" t="s">
        <v>132</v>
      </c>
      <c r="M11" s="101" t="s">
        <v>49</v>
      </c>
      <c r="N11" s="102" t="s">
        <v>58</v>
      </c>
      <c r="O11" s="103" t="s">
        <v>132</v>
      </c>
      <c r="P11" s="101" t="s">
        <v>49</v>
      </c>
      <c r="Q11" s="102" t="s">
        <v>8</v>
      </c>
      <c r="R11" s="6"/>
      <c r="S11" s="6"/>
    </row>
    <row r="12" spans="1:22" s="7" customFormat="1" ht="15" customHeight="1">
      <c r="A12" s="154"/>
      <c r="B12" s="104" t="s">
        <v>9</v>
      </c>
      <c r="C12" s="105"/>
      <c r="D12" s="106"/>
      <c r="E12" s="206"/>
      <c r="F12" s="105"/>
      <c r="G12" s="106"/>
      <c r="H12" s="206"/>
      <c r="I12" s="105"/>
      <c r="J12" s="106"/>
      <c r="K12" s="206"/>
      <c r="L12" s="105"/>
      <c r="M12" s="106"/>
      <c r="N12" s="206"/>
      <c r="O12" s="107">
        <f t="shared" ref="O12:O24" si="0">SUM(C12+F12+I12+L12)</f>
        <v>0</v>
      </c>
      <c r="P12" s="108" t="str">
        <f t="shared" ref="P12:P24" si="1">IF(SUM(D12+G12+J12+M12)&gt;0,(C12*D12+F12*G12+I12*J12+L12*M12)/SUM(C12+F12+I12+L12),"")</f>
        <v/>
      </c>
      <c r="Q12" s="208" t="str">
        <f t="shared" ref="Q12:Q24" si="2">IF(SUM(E12,H12,K12,N12)&gt;0,SUM(C12*E12+F12*H12+I12*K12+L12*N12)/SUM(C12+F12+I12+L12),"")</f>
        <v/>
      </c>
      <c r="R12" s="6"/>
      <c r="S12" s="6"/>
    </row>
    <row r="13" spans="1:22" s="7" customFormat="1" ht="15" customHeight="1">
      <c r="A13" s="154"/>
      <c r="B13" s="104" t="s">
        <v>50</v>
      </c>
      <c r="C13" s="109"/>
      <c r="D13" s="110"/>
      <c r="E13" s="207"/>
      <c r="F13" s="109"/>
      <c r="G13" s="110"/>
      <c r="H13" s="207"/>
      <c r="I13" s="109"/>
      <c r="J13" s="110"/>
      <c r="K13" s="207"/>
      <c r="L13" s="109"/>
      <c r="M13" s="110"/>
      <c r="N13" s="207"/>
      <c r="O13" s="107">
        <f t="shared" si="0"/>
        <v>0</v>
      </c>
      <c r="P13" s="108" t="str">
        <f t="shared" si="1"/>
        <v/>
      </c>
      <c r="Q13" s="208" t="str">
        <f t="shared" si="2"/>
        <v/>
      </c>
      <c r="R13" s="6"/>
      <c r="S13" s="6"/>
    </row>
    <row r="14" spans="1:22" s="7" customFormat="1" ht="15" customHeight="1">
      <c r="A14" s="154"/>
      <c r="B14" s="104" t="s">
        <v>51</v>
      </c>
      <c r="C14" s="109"/>
      <c r="D14" s="110"/>
      <c r="E14" s="207"/>
      <c r="F14" s="109"/>
      <c r="G14" s="110"/>
      <c r="H14" s="207"/>
      <c r="I14" s="109"/>
      <c r="J14" s="110"/>
      <c r="K14" s="207"/>
      <c r="L14" s="109"/>
      <c r="M14" s="110"/>
      <c r="N14" s="207"/>
      <c r="O14" s="107">
        <f t="shared" si="0"/>
        <v>0</v>
      </c>
      <c r="P14" s="108" t="str">
        <f t="shared" si="1"/>
        <v/>
      </c>
      <c r="Q14" s="208" t="str">
        <f t="shared" si="2"/>
        <v/>
      </c>
      <c r="R14" s="6"/>
      <c r="S14" s="6"/>
    </row>
    <row r="15" spans="1:22" s="7" customFormat="1" ht="15" customHeight="1">
      <c r="A15" s="154"/>
      <c r="B15" s="104" t="s">
        <v>52</v>
      </c>
      <c r="C15" s="109"/>
      <c r="D15" s="110"/>
      <c r="E15" s="207"/>
      <c r="F15" s="109"/>
      <c r="G15" s="110"/>
      <c r="H15" s="207"/>
      <c r="I15" s="109"/>
      <c r="J15" s="110"/>
      <c r="K15" s="207"/>
      <c r="L15" s="109"/>
      <c r="M15" s="110"/>
      <c r="N15" s="207"/>
      <c r="O15" s="107">
        <f t="shared" si="0"/>
        <v>0</v>
      </c>
      <c r="P15" s="108" t="str">
        <f t="shared" si="1"/>
        <v/>
      </c>
      <c r="Q15" s="208" t="str">
        <f t="shared" si="2"/>
        <v/>
      </c>
      <c r="R15" s="6"/>
      <c r="S15" s="6"/>
    </row>
    <row r="16" spans="1:22" s="7" customFormat="1" ht="15" customHeight="1">
      <c r="A16" s="154"/>
      <c r="B16" s="104" t="s">
        <v>53</v>
      </c>
      <c r="C16" s="109"/>
      <c r="D16" s="110"/>
      <c r="E16" s="207"/>
      <c r="F16" s="109"/>
      <c r="G16" s="110"/>
      <c r="H16" s="207"/>
      <c r="I16" s="109"/>
      <c r="J16" s="110"/>
      <c r="K16" s="207"/>
      <c r="L16" s="109"/>
      <c r="M16" s="110"/>
      <c r="N16" s="207"/>
      <c r="O16" s="107">
        <f t="shared" si="0"/>
        <v>0</v>
      </c>
      <c r="P16" s="108" t="str">
        <f t="shared" si="1"/>
        <v/>
      </c>
      <c r="Q16" s="208" t="str">
        <f t="shared" si="2"/>
        <v/>
      </c>
      <c r="R16" s="6"/>
      <c r="S16" s="6"/>
    </row>
    <row r="17" spans="1:19" s="7" customFormat="1" ht="15" customHeight="1">
      <c r="A17" s="154"/>
      <c r="B17" s="104" t="s">
        <v>10</v>
      </c>
      <c r="C17" s="109"/>
      <c r="D17" s="110"/>
      <c r="E17" s="207"/>
      <c r="F17" s="109"/>
      <c r="G17" s="110"/>
      <c r="H17" s="207"/>
      <c r="I17" s="109"/>
      <c r="J17" s="110"/>
      <c r="K17" s="207"/>
      <c r="L17" s="109"/>
      <c r="M17" s="110"/>
      <c r="N17" s="207"/>
      <c r="O17" s="107">
        <f t="shared" si="0"/>
        <v>0</v>
      </c>
      <c r="P17" s="108" t="str">
        <f t="shared" si="1"/>
        <v/>
      </c>
      <c r="Q17" s="208" t="str">
        <f t="shared" si="2"/>
        <v/>
      </c>
      <c r="R17" s="6"/>
      <c r="S17" s="6"/>
    </row>
    <row r="18" spans="1:19" s="7" customFormat="1" ht="15" customHeight="1">
      <c r="A18" s="154"/>
      <c r="B18" s="104" t="s">
        <v>11</v>
      </c>
      <c r="C18" s="109"/>
      <c r="D18" s="110"/>
      <c r="E18" s="207"/>
      <c r="F18" s="109"/>
      <c r="G18" s="110"/>
      <c r="H18" s="207"/>
      <c r="I18" s="109"/>
      <c r="J18" s="110"/>
      <c r="K18" s="207"/>
      <c r="L18" s="109"/>
      <c r="M18" s="110"/>
      <c r="N18" s="207"/>
      <c r="O18" s="107">
        <f t="shared" si="0"/>
        <v>0</v>
      </c>
      <c r="P18" s="108" t="str">
        <f t="shared" si="1"/>
        <v/>
      </c>
      <c r="Q18" s="208" t="str">
        <f t="shared" si="2"/>
        <v/>
      </c>
      <c r="R18" s="6"/>
      <c r="S18" s="6"/>
    </row>
    <row r="19" spans="1:19" s="7" customFormat="1" ht="15" customHeight="1">
      <c r="A19" s="154"/>
      <c r="B19" s="104" t="s">
        <v>12</v>
      </c>
      <c r="C19" s="109"/>
      <c r="D19" s="110"/>
      <c r="E19" s="207"/>
      <c r="F19" s="109"/>
      <c r="G19" s="110"/>
      <c r="H19" s="207"/>
      <c r="I19" s="109"/>
      <c r="J19" s="110"/>
      <c r="K19" s="207"/>
      <c r="L19" s="109"/>
      <c r="M19" s="110"/>
      <c r="N19" s="207"/>
      <c r="O19" s="107">
        <f t="shared" si="0"/>
        <v>0</v>
      </c>
      <c r="P19" s="108" t="str">
        <f t="shared" si="1"/>
        <v/>
      </c>
      <c r="Q19" s="208" t="str">
        <f t="shared" si="2"/>
        <v/>
      </c>
      <c r="R19" s="6"/>
      <c r="S19" s="6"/>
    </row>
    <row r="20" spans="1:19" s="7" customFormat="1" ht="15" customHeight="1">
      <c r="A20" s="154"/>
      <c r="B20" s="104" t="s">
        <v>13</v>
      </c>
      <c r="C20" s="109"/>
      <c r="D20" s="110"/>
      <c r="E20" s="207"/>
      <c r="F20" s="109"/>
      <c r="G20" s="110"/>
      <c r="H20" s="207"/>
      <c r="I20" s="109"/>
      <c r="J20" s="110"/>
      <c r="K20" s="207"/>
      <c r="L20" s="109"/>
      <c r="M20" s="110"/>
      <c r="N20" s="207"/>
      <c r="O20" s="107">
        <f t="shared" si="0"/>
        <v>0</v>
      </c>
      <c r="P20" s="108" t="str">
        <f t="shared" si="1"/>
        <v/>
      </c>
      <c r="Q20" s="208" t="str">
        <f t="shared" si="2"/>
        <v/>
      </c>
      <c r="R20" s="6"/>
      <c r="S20" s="6"/>
    </row>
    <row r="21" spans="1:19" s="7" customFormat="1" ht="15" customHeight="1">
      <c r="A21" s="154"/>
      <c r="B21" s="104">
        <v>9</v>
      </c>
      <c r="C21" s="109"/>
      <c r="D21" s="110"/>
      <c r="E21" s="207"/>
      <c r="F21" s="109"/>
      <c r="G21" s="110"/>
      <c r="H21" s="207"/>
      <c r="I21" s="109"/>
      <c r="J21" s="110"/>
      <c r="K21" s="207"/>
      <c r="L21" s="109"/>
      <c r="M21" s="110"/>
      <c r="N21" s="207"/>
      <c r="O21" s="107"/>
      <c r="P21" s="108"/>
      <c r="Q21" s="208"/>
      <c r="R21" s="6"/>
      <c r="S21" s="6"/>
    </row>
    <row r="22" spans="1:19" s="7" customFormat="1" ht="15" customHeight="1">
      <c r="A22" s="154"/>
      <c r="B22" s="104">
        <v>10</v>
      </c>
      <c r="C22" s="109"/>
      <c r="D22" s="110"/>
      <c r="E22" s="207"/>
      <c r="F22" s="109"/>
      <c r="G22" s="110"/>
      <c r="H22" s="207"/>
      <c r="I22" s="109"/>
      <c r="J22" s="110"/>
      <c r="K22" s="207"/>
      <c r="L22" s="109"/>
      <c r="M22" s="110"/>
      <c r="N22" s="207"/>
      <c r="O22" s="107"/>
      <c r="P22" s="108"/>
      <c r="Q22" s="208"/>
      <c r="R22" s="6"/>
      <c r="S22" s="6"/>
    </row>
    <row r="23" spans="1:19" s="7" customFormat="1" ht="15" customHeight="1">
      <c r="A23" s="154"/>
      <c r="B23" s="104">
        <v>11</v>
      </c>
      <c r="C23" s="109"/>
      <c r="D23" s="110"/>
      <c r="E23" s="207"/>
      <c r="F23" s="109"/>
      <c r="G23" s="110"/>
      <c r="H23" s="207"/>
      <c r="I23" s="109"/>
      <c r="J23" s="110"/>
      <c r="K23" s="207"/>
      <c r="L23" s="109"/>
      <c r="M23" s="110"/>
      <c r="N23" s="207"/>
      <c r="O23" s="107"/>
      <c r="P23" s="108"/>
      <c r="Q23" s="208"/>
      <c r="R23" s="6"/>
      <c r="S23" s="6"/>
    </row>
    <row r="24" spans="1:19" s="7" customFormat="1" ht="15" customHeight="1" thickBot="1">
      <c r="A24" s="195" t="s">
        <v>14</v>
      </c>
      <c r="B24" s="104" t="s">
        <v>91</v>
      </c>
      <c r="C24" s="109"/>
      <c r="D24" s="110"/>
      <c r="E24" s="207"/>
      <c r="F24" s="109"/>
      <c r="G24" s="110"/>
      <c r="H24" s="207"/>
      <c r="I24" s="109"/>
      <c r="J24" s="110"/>
      <c r="K24" s="207"/>
      <c r="L24" s="109"/>
      <c r="M24" s="110"/>
      <c r="N24" s="207"/>
      <c r="O24" s="107">
        <f t="shared" si="0"/>
        <v>0</v>
      </c>
      <c r="P24" s="108" t="str">
        <f t="shared" si="1"/>
        <v/>
      </c>
      <c r="Q24" s="208" t="str">
        <f t="shared" si="2"/>
        <v/>
      </c>
      <c r="R24" s="6"/>
      <c r="S24" s="6"/>
    </row>
    <row r="25" spans="1:19" s="7" customFormat="1" ht="15" customHeight="1" thickBot="1">
      <c r="A25" s="5"/>
      <c r="B25" s="163" t="s">
        <v>24</v>
      </c>
      <c r="C25" s="80" t="str">
        <f>IF(SUM(C12:C24)&gt;0,SUM(C12:C24),"na")</f>
        <v>na</v>
      </c>
      <c r="D25" s="23" t="str">
        <f>IF(SUM(D12:D24)&gt;0,SUMPRODUCT(C12:C24,D12:D24)/C25,"na")</f>
        <v>na</v>
      </c>
      <c r="E25" s="210" t="str">
        <f>IF(SUM(E12:E24)&gt;0,SUMPRODUCT(C12:C24,E12:E24)/C25,"na")</f>
        <v>na</v>
      </c>
      <c r="F25" s="80" t="str">
        <f>IF(SUM(F12:F24)&gt;0,SUM(F12:F24),"na")</f>
        <v>na</v>
      </c>
      <c r="G25" s="23" t="str">
        <f>IF(SUM(G12:G24)&gt;0,SUMPRODUCT(F12:F24,G12:G24)/F25,"na")</f>
        <v>na</v>
      </c>
      <c r="H25" s="24" t="str">
        <f>IF(SUM(H12:H24)&gt;0,SUMPRODUCT(F12:F24,H12:H24)/F25,"na")</f>
        <v>na</v>
      </c>
      <c r="I25" s="80" t="str">
        <f>IF(SUM(I12:I24)&gt;0,SUM(I12:I24),"na")</f>
        <v>na</v>
      </c>
      <c r="J25" s="23" t="str">
        <f>IF(SUM(J12:J24)&gt;0,SUMPRODUCT(I12:I24,J12:J24)/I25,"na")</f>
        <v>na</v>
      </c>
      <c r="K25" s="210" t="str">
        <f>IF(SUM(K12:K24)&gt;0,SUMPRODUCT(I12:I24,K12:K24)/I25,"na")</f>
        <v>na</v>
      </c>
      <c r="L25" s="80" t="str">
        <f>IF(SUM(L12:L24)&gt;0,SUM(L12:L24),"na")</f>
        <v>na</v>
      </c>
      <c r="M25" s="23" t="str">
        <f>IF(SUM(M12:M24)&gt;0,SUMPRODUCT(L12:L24,M12:M24)/L25,"na")</f>
        <v>na</v>
      </c>
      <c r="N25" s="24" t="str">
        <f>IF(SUM(N12:N24)&gt;0,SUMPRODUCT(L12:L24,N12:N24)/L25,"na")</f>
        <v>na</v>
      </c>
      <c r="O25" s="80" t="str">
        <f>IF(SUM(O12:O24)&gt;0,SUM(O12:O24),"na")</f>
        <v>na</v>
      </c>
      <c r="P25" s="23" t="str">
        <f>IF(SUM(P12:P24)&gt;0,SUMPRODUCT(O12:O24,P12:P24)/O25,"na")</f>
        <v>na</v>
      </c>
      <c r="Q25" s="25" t="str">
        <f>IF(SUM(Q12:Q24)&gt;0,SUMPRODUCT(O12:O24,Q12:Q24)/O25,"na")</f>
        <v>na</v>
      </c>
      <c r="R25" s="6"/>
      <c r="S25" s="6"/>
    </row>
    <row r="26" spans="1:19" s="121" customFormat="1" ht="6.75" customHeight="1" thickBot="1">
      <c r="A26" s="4"/>
      <c r="B26" s="4"/>
      <c r="C26" s="131"/>
      <c r="D26" s="132"/>
      <c r="E26" s="133"/>
      <c r="F26" s="139"/>
      <c r="G26" s="140"/>
      <c r="H26" s="133"/>
      <c r="I26" s="139"/>
      <c r="J26" s="140"/>
      <c r="K26" s="133"/>
      <c r="L26" s="139"/>
      <c r="M26" s="140"/>
      <c r="N26" s="133"/>
      <c r="O26" s="139"/>
      <c r="P26" s="141"/>
      <c r="Q26" s="142"/>
      <c r="R26" s="42"/>
      <c r="S26" s="42"/>
    </row>
    <row r="27" spans="1:19" s="7" customFormat="1" ht="13.5" customHeight="1">
      <c r="A27" s="4"/>
      <c r="B27" s="4"/>
      <c r="C27" s="134" t="s">
        <v>144</v>
      </c>
      <c r="D27" s="203"/>
      <c r="E27" s="135" t="s">
        <v>26</v>
      </c>
      <c r="F27" s="134" t="s">
        <v>144</v>
      </c>
      <c r="G27" s="203"/>
      <c r="H27" s="135" t="s">
        <v>26</v>
      </c>
      <c r="I27" s="134" t="s">
        <v>144</v>
      </c>
      <c r="J27" s="203"/>
      <c r="K27" s="135" t="s">
        <v>26</v>
      </c>
      <c r="L27" s="134" t="s">
        <v>144</v>
      </c>
      <c r="M27" s="203"/>
      <c r="N27" s="135" t="s">
        <v>26</v>
      </c>
      <c r="O27" s="134" t="s">
        <v>144</v>
      </c>
      <c r="P27" s="111">
        <f>SUM(M27,J27,G27,D27)</f>
        <v>0</v>
      </c>
      <c r="Q27" s="135" t="s">
        <v>26</v>
      </c>
      <c r="R27" s="6"/>
      <c r="S27" s="6"/>
    </row>
    <row r="28" spans="1:19" s="7" customFormat="1" ht="13.5" customHeight="1">
      <c r="A28" s="8"/>
      <c r="B28" s="4"/>
      <c r="C28" s="134" t="s">
        <v>27</v>
      </c>
      <c r="D28" s="112" t="str">
        <f>IF(SUM(E12:E24)&gt;0,(C25*E25),"na")</f>
        <v>na</v>
      </c>
      <c r="E28" s="135" t="s">
        <v>26</v>
      </c>
      <c r="F28" s="134" t="s">
        <v>27</v>
      </c>
      <c r="G28" s="112" t="str">
        <f>IF(SUM(H12:H24)&gt;0,(F25*H25),"na")</f>
        <v>na</v>
      </c>
      <c r="H28" s="135" t="s">
        <v>26</v>
      </c>
      <c r="I28" s="134" t="s">
        <v>27</v>
      </c>
      <c r="J28" s="112" t="str">
        <f>IF(SUM(K12:K24)&gt;0,(I25*K25),"na")</f>
        <v>na</v>
      </c>
      <c r="K28" s="135" t="s">
        <v>26</v>
      </c>
      <c r="L28" s="134" t="s">
        <v>27</v>
      </c>
      <c r="M28" s="112" t="str">
        <f>IF(SUM(N12:N24)&gt;0,(L25*N25),"na")</f>
        <v>na</v>
      </c>
      <c r="N28" s="135" t="s">
        <v>26</v>
      </c>
      <c r="O28" s="134" t="s">
        <v>27</v>
      </c>
      <c r="P28" s="112" t="str">
        <f>IF(SUM(Q12:Q24)&gt;0,(O25*Q25),"na")</f>
        <v>na</v>
      </c>
      <c r="Q28" s="135" t="s">
        <v>26</v>
      </c>
      <c r="R28" s="6"/>
      <c r="S28" s="6"/>
    </row>
    <row r="29" spans="1:19" s="7" customFormat="1" ht="13.5" customHeight="1" thickBot="1">
      <c r="A29" s="8"/>
      <c r="B29" s="4"/>
      <c r="C29" s="134" t="s">
        <v>27</v>
      </c>
      <c r="D29" s="113" t="str">
        <f>IF(SUM(E12:E24)&gt;0,D28/D27,"na")</f>
        <v>na</v>
      </c>
      <c r="E29" s="136" t="s">
        <v>28</v>
      </c>
      <c r="F29" s="134" t="s">
        <v>27</v>
      </c>
      <c r="G29" s="113" t="str">
        <f>IF(SUM(H12:H24)&gt;0,G28/G27,"na")</f>
        <v>na</v>
      </c>
      <c r="H29" s="136" t="s">
        <v>28</v>
      </c>
      <c r="I29" s="134" t="s">
        <v>27</v>
      </c>
      <c r="J29" s="113" t="str">
        <f>IF(SUM(K12:K24)&gt;0,J28/J27,"na")</f>
        <v>na</v>
      </c>
      <c r="K29" s="136" t="s">
        <v>28</v>
      </c>
      <c r="L29" s="134" t="s">
        <v>27</v>
      </c>
      <c r="M29" s="113" t="str">
        <f>IF(SUM(N12:N24)&gt;0,M28/M27,"na")</f>
        <v>na</v>
      </c>
      <c r="N29" s="136" t="s">
        <v>28</v>
      </c>
      <c r="O29" s="134" t="s">
        <v>27</v>
      </c>
      <c r="P29" s="113" t="str">
        <f>IF(SUM(Q12:Q24)&gt;0,P28/P27,"na")</f>
        <v>na</v>
      </c>
      <c r="Q29" s="136" t="s">
        <v>28</v>
      </c>
      <c r="R29" s="6"/>
      <c r="S29" s="6"/>
    </row>
    <row r="30" spans="1:19" s="6" customFormat="1" ht="6" customHeight="1" thickBot="1">
      <c r="A30" s="8"/>
      <c r="B30" s="4"/>
      <c r="C30" s="137"/>
      <c r="D30" s="36"/>
      <c r="E30" s="136"/>
      <c r="F30" s="137"/>
      <c r="G30" s="36"/>
      <c r="H30" s="136"/>
      <c r="I30" s="137"/>
      <c r="J30" s="36"/>
      <c r="K30" s="136"/>
      <c r="L30" s="137"/>
      <c r="M30" s="36"/>
      <c r="N30" s="136"/>
      <c r="O30" s="137"/>
      <c r="P30" s="36"/>
      <c r="Q30" s="136"/>
    </row>
    <row r="31" spans="1:19" s="6" customFormat="1" ht="13.5" customHeight="1" thickBot="1">
      <c r="A31" s="8"/>
      <c r="B31" s="4"/>
      <c r="C31" s="134" t="s">
        <v>29</v>
      </c>
      <c r="D31" s="204"/>
      <c r="E31" s="136" t="s">
        <v>30</v>
      </c>
      <c r="F31" s="134" t="s">
        <v>29</v>
      </c>
      <c r="G31" s="204"/>
      <c r="H31" s="136" t="s">
        <v>30</v>
      </c>
      <c r="I31" s="134" t="s">
        <v>29</v>
      </c>
      <c r="J31" s="204"/>
      <c r="K31" s="136" t="s">
        <v>30</v>
      </c>
      <c r="L31" s="134" t="s">
        <v>29</v>
      </c>
      <c r="M31" s="205"/>
      <c r="N31" s="136" t="s">
        <v>30</v>
      </c>
      <c r="O31" s="134" t="s">
        <v>29</v>
      </c>
      <c r="P31" s="114"/>
      <c r="Q31" s="136" t="s">
        <v>30</v>
      </c>
    </row>
    <row r="32" spans="1:19" s="7" customFormat="1" ht="6.75" customHeight="1" thickBot="1">
      <c r="A32" s="8"/>
      <c r="B32" s="9"/>
      <c r="C32" s="138"/>
      <c r="D32" s="129"/>
      <c r="E32" s="130"/>
      <c r="F32" s="138"/>
      <c r="G32" s="129"/>
      <c r="H32" s="130"/>
      <c r="I32" s="138"/>
      <c r="J32" s="129"/>
      <c r="K32" s="130"/>
      <c r="L32" s="138"/>
      <c r="M32" s="129"/>
      <c r="N32" s="130"/>
      <c r="O32" s="138"/>
      <c r="P32" s="129"/>
      <c r="Q32" s="130"/>
      <c r="R32" s="6"/>
      <c r="S32" s="6"/>
    </row>
    <row r="33" spans="1:23" s="7" customFormat="1" ht="15.5">
      <c r="A33" s="123" t="s">
        <v>31</v>
      </c>
      <c r="B33" s="124"/>
      <c r="C33" s="124"/>
      <c r="D33" s="124"/>
      <c r="E33" s="124"/>
      <c r="F33" s="125"/>
      <c r="G33" s="125"/>
      <c r="H33" s="125"/>
      <c r="I33" s="125"/>
      <c r="J33" s="125"/>
      <c r="K33" s="125"/>
      <c r="L33" s="125"/>
      <c r="M33" s="125"/>
      <c r="N33" s="125"/>
      <c r="O33" s="125"/>
      <c r="P33" s="125"/>
      <c r="Q33" s="126"/>
      <c r="R33" s="6"/>
      <c r="S33" s="6"/>
      <c r="T33" s="330"/>
      <c r="U33" s="330"/>
      <c r="V33" s="330"/>
      <c r="W33" s="330"/>
    </row>
    <row r="34" spans="1:23" s="7" customFormat="1" ht="16" thickBot="1">
      <c r="A34" s="127" t="s">
        <v>0</v>
      </c>
      <c r="B34" s="128"/>
      <c r="C34" s="128"/>
      <c r="D34" s="128"/>
      <c r="E34" s="128"/>
      <c r="F34" s="129"/>
      <c r="G34" s="129"/>
      <c r="H34" s="129"/>
      <c r="I34" s="129"/>
      <c r="J34" s="129"/>
      <c r="K34" s="129"/>
      <c r="L34" s="129"/>
      <c r="M34" s="129"/>
      <c r="N34" s="129"/>
      <c r="O34" s="129"/>
      <c r="P34" s="129"/>
      <c r="Q34" s="130"/>
      <c r="R34" s="6"/>
      <c r="S34" s="6"/>
      <c r="T34" s="330"/>
      <c r="U34" s="330"/>
      <c r="V34" s="330"/>
      <c r="W34" s="330"/>
    </row>
    <row r="35" spans="1:23" s="7" customFormat="1" ht="12.5">
      <c r="A35" s="115"/>
      <c r="B35" s="115"/>
      <c r="C35" s="115"/>
      <c r="D35" s="115"/>
      <c r="E35" s="115"/>
      <c r="F35" s="6"/>
      <c r="G35" s="6"/>
      <c r="H35" s="6"/>
      <c r="I35" s="6"/>
      <c r="J35" s="6"/>
      <c r="K35" s="6"/>
      <c r="L35" s="6"/>
      <c r="M35" s="6"/>
      <c r="N35" s="6"/>
      <c r="O35" s="6"/>
      <c r="P35" s="6"/>
      <c r="Q35" s="6"/>
      <c r="R35" s="6"/>
      <c r="S35" s="6"/>
      <c r="T35" s="330"/>
      <c r="U35" s="330"/>
      <c r="V35" s="330"/>
      <c r="W35" s="330"/>
    </row>
    <row r="36" spans="1:23" s="7" customFormat="1">
      <c r="A36" s="8"/>
      <c r="B36" s="9"/>
      <c r="C36" s="6"/>
      <c r="D36" s="6"/>
      <c r="E36" s="6"/>
      <c r="F36" s="6"/>
      <c r="G36" s="6"/>
      <c r="H36" s="6"/>
      <c r="I36" s="6"/>
      <c r="J36" s="6"/>
      <c r="K36" s="6"/>
      <c r="L36" s="6"/>
      <c r="M36" s="6"/>
      <c r="N36" s="6"/>
      <c r="O36" s="6"/>
      <c r="P36" s="6"/>
      <c r="Q36" s="6"/>
      <c r="R36" s="6"/>
      <c r="S36" s="6"/>
      <c r="T36" s="330"/>
      <c r="U36" s="330"/>
      <c r="V36" s="330"/>
      <c r="W36" s="330"/>
    </row>
    <row r="37" spans="1:23" s="7" customFormat="1">
      <c r="A37" s="8"/>
      <c r="B37" s="9"/>
      <c r="C37" s="6"/>
      <c r="D37" s="6"/>
      <c r="E37" s="6"/>
      <c r="F37" s="6"/>
      <c r="G37" s="6"/>
      <c r="H37" s="6"/>
      <c r="I37" s="6"/>
      <c r="J37" s="6"/>
      <c r="K37" s="6"/>
      <c r="L37" s="6"/>
      <c r="M37" s="6"/>
      <c r="N37" s="6"/>
      <c r="O37" s="6"/>
      <c r="P37" s="6"/>
      <c r="Q37" s="6"/>
      <c r="R37" s="6"/>
      <c r="S37" s="6"/>
      <c r="T37" s="330"/>
      <c r="U37" s="330"/>
      <c r="V37" s="330"/>
      <c r="W37" s="330"/>
    </row>
    <row r="38" spans="1:23">
      <c r="T38" s="223"/>
      <c r="U38" s="223"/>
      <c r="V38" s="223"/>
      <c r="W38" s="223"/>
    </row>
    <row r="39" spans="1:23">
      <c r="T39" s="223"/>
      <c r="U39" s="223"/>
      <c r="V39" s="223"/>
      <c r="W39" s="223"/>
    </row>
  </sheetData>
  <mergeCells count="2">
    <mergeCell ref="C8:D8"/>
    <mergeCell ref="I6:J6"/>
  </mergeCells>
  <phoneticPr fontId="37" type="noConversion"/>
  <dataValidations count="1">
    <dataValidation type="decimal" errorStyle="warning" allowBlank="1" showInputMessage="1" showErrorMessage="1" errorTitle="Please Check!" error="Confirm that the value you have entered is correct" sqref="N12:N24 H12:H24 K12:K24 E12:E24" xr:uid="{00000000-0002-0000-1300-000000000000}">
      <formula1>0.06</formula1>
      <formula2>1.5</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8F08A0-5E56-41E9-ADC5-FB456FF2580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9D6F1F5-6BD5-44E8-8DFD-C1D6658632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9981a-ca0a-4e56-9512-575f16b7e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AB361A-A7ED-43F7-82D8-B7FC90B3F5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START HERE</vt:lpstr>
      <vt:lpstr>Comments</vt:lpstr>
      <vt:lpstr>catch data</vt:lpstr>
      <vt:lpstr>sampling</vt:lpstr>
      <vt:lpstr>LEN F1</vt:lpstr>
      <vt:lpstr>LEN F2</vt:lpstr>
      <vt:lpstr>LEN F3</vt:lpstr>
      <vt:lpstr>LEN F4</vt:lpstr>
      <vt:lpstr>WLK F1</vt:lpstr>
      <vt:lpstr>WLK F2</vt:lpstr>
      <vt:lpstr>WLK F3</vt:lpstr>
      <vt:lpstr>WLK F4</vt:lpstr>
      <vt:lpstr>ALK F1</vt:lpstr>
      <vt:lpstr>ALK F2</vt:lpstr>
      <vt:lpstr>ALK F3</vt:lpstr>
      <vt:lpstr>ALK F4</vt:lpstr>
      <vt:lpstr>CN F1</vt:lpstr>
      <vt:lpstr>CN F2</vt:lpstr>
      <vt:lpstr>CN F3</vt:lpstr>
      <vt:lpstr>CN F4</vt:lpstr>
      <vt:lpstr>sampling!Print_Area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Tien, Nicola</cp:lastModifiedBy>
  <cp:lastPrinted>2005-03-01T15:40:24Z</cp:lastPrinted>
  <dcterms:created xsi:type="dcterms:W3CDTF">1998-05-02T10:10:47Z</dcterms:created>
  <dcterms:modified xsi:type="dcterms:W3CDTF">2022-06-17T06:41:26Z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