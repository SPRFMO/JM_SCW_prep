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m/_mymods/sprfmo/jjm/docs/"/>
    </mc:Choice>
  </mc:AlternateContent>
  <xr:revisionPtr revIDLastSave="0" documentId="13_ncr:40009_{07D302E4-722B-884D-BC26-B11607F309D3}" xr6:coauthVersionLast="33" xr6:coauthVersionMax="33" xr10:uidLastSave="{00000000-0000-0000-0000-000000000000}"/>
  <bookViews>
    <workbookView xWindow="0" yWindow="460" windowWidth="28800" windowHeight="17540"/>
  </bookViews>
  <sheets>
    <sheet name="SummaryLikelihoods" sheetId="2" r:id="rId1"/>
    <sheet name="FrancisWeights" sheetId="1" r:id="rId2"/>
  </sheets>
  <calcPr calcId="179017"/>
</workbook>
</file>

<file path=xl/calcChain.xml><?xml version="1.0" encoding="utf-8"?>
<calcChain xmlns="http://schemas.openxmlformats.org/spreadsheetml/2006/main">
  <c r="S2" i="2" l="1"/>
  <c r="S3" i="2"/>
  <c r="D18" i="2" s="1"/>
  <c r="S4" i="2"/>
  <c r="E19" i="2" s="1"/>
  <c r="S5" i="2"/>
  <c r="E20" i="2" s="1"/>
  <c r="S6" i="2"/>
  <c r="E21" i="2" s="1"/>
  <c r="S7" i="2"/>
  <c r="E22" i="2" s="1"/>
  <c r="S8" i="2"/>
  <c r="S9" i="2"/>
  <c r="D23" i="2" s="1"/>
  <c r="S10" i="2"/>
  <c r="S11" i="2"/>
  <c r="S12" i="2"/>
  <c r="S13" i="2"/>
  <c r="S14" i="2"/>
  <c r="S15" i="2"/>
  <c r="B18" i="2"/>
  <c r="C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B19" i="2"/>
  <c r="C19" i="2"/>
  <c r="D19" i="2"/>
  <c r="F19" i="2"/>
  <c r="G19" i="2"/>
  <c r="H19" i="2"/>
  <c r="I19" i="2"/>
  <c r="J19" i="2"/>
  <c r="K19" i="2"/>
  <c r="L19" i="2"/>
  <c r="M19" i="2"/>
  <c r="N19" i="2"/>
  <c r="O19" i="2"/>
  <c r="P19" i="2"/>
  <c r="Q19" i="2"/>
  <c r="B20" i="2"/>
  <c r="C20" i="2"/>
  <c r="D20" i="2"/>
  <c r="G20" i="2"/>
  <c r="H20" i="2"/>
  <c r="I20" i="2"/>
  <c r="J20" i="2"/>
  <c r="K20" i="2"/>
  <c r="L20" i="2"/>
  <c r="O20" i="2"/>
  <c r="P20" i="2"/>
  <c r="Q20" i="2"/>
  <c r="B21" i="2"/>
  <c r="C21" i="2"/>
  <c r="D21" i="2"/>
  <c r="H21" i="2"/>
  <c r="I21" i="2"/>
  <c r="J21" i="2"/>
  <c r="K21" i="2"/>
  <c r="L21" i="2"/>
  <c r="P21" i="2"/>
  <c r="Q21" i="2"/>
  <c r="B22" i="2"/>
  <c r="C22" i="2"/>
  <c r="D22" i="2"/>
  <c r="I22" i="2"/>
  <c r="J22" i="2"/>
  <c r="K22" i="2"/>
  <c r="L22" i="2"/>
  <c r="Q22" i="2"/>
  <c r="C23" i="2"/>
  <c r="K23" i="2"/>
  <c r="L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B23" i="2" l="1"/>
  <c r="I23" i="2"/>
  <c r="P23" i="2"/>
  <c r="P22" i="2"/>
  <c r="O23" i="2"/>
  <c r="O21" i="2"/>
  <c r="F20" i="2"/>
  <c r="J23" i="2"/>
  <c r="Q23" i="2"/>
  <c r="H23" i="2"/>
  <c r="H22" i="2"/>
  <c r="G23" i="2"/>
  <c r="O22" i="2"/>
  <c r="G22" i="2"/>
  <c r="G21" i="2"/>
  <c r="N23" i="2"/>
  <c r="F23" i="2"/>
  <c r="N22" i="2"/>
  <c r="F22" i="2"/>
  <c r="N21" i="2"/>
  <c r="F21" i="2"/>
  <c r="N20" i="2"/>
  <c r="M23" i="2"/>
  <c r="E23" i="2"/>
  <c r="M22" i="2"/>
  <c r="M21" i="2"/>
  <c r="M20" i="2"/>
</calcChain>
</file>

<file path=xl/sharedStrings.xml><?xml version="1.0" encoding="utf-8"?>
<sst xmlns="http://schemas.openxmlformats.org/spreadsheetml/2006/main" count="43" uniqueCount="36">
  <si>
    <t>FW_N_Chile</t>
  </si>
  <si>
    <t>FW_SC_Chile_PS</t>
  </si>
  <si>
    <t>FW_Offshore_Trawl</t>
  </si>
  <si>
    <t>FW_Chile_AcousCS</t>
  </si>
  <si>
    <t>FW_Chile_AcousN</t>
  </si>
  <si>
    <t>FW_DEPM</t>
  </si>
  <si>
    <t>model_1.0</t>
  </si>
  <si>
    <t>model_1.1</t>
  </si>
  <si>
    <t>model_1.2</t>
  </si>
  <si>
    <t>model_1.3</t>
  </si>
  <si>
    <t>model_1.4</t>
  </si>
  <si>
    <t>model_1.5</t>
  </si>
  <si>
    <t>model_1.6</t>
  </si>
  <si>
    <t>model_1.7</t>
  </si>
  <si>
    <t>model_1.8</t>
  </si>
  <si>
    <t>model_1.9</t>
  </si>
  <si>
    <t>model_1.10</t>
  </si>
  <si>
    <t>model_1.11</t>
  </si>
  <si>
    <t>model_1.12</t>
  </si>
  <si>
    <t>model_1.13</t>
  </si>
  <si>
    <t>model_1.14</t>
  </si>
  <si>
    <t>model_1.15</t>
  </si>
  <si>
    <t>rec_like</t>
  </si>
  <si>
    <t>sel_like_ind</t>
  </si>
  <si>
    <t>age_like_ind</t>
  </si>
  <si>
    <t>ind_like</t>
  </si>
  <si>
    <t>sel_like_fsh</t>
  </si>
  <si>
    <t>length_like_fsh</t>
  </si>
  <si>
    <t>age_like_fsh</t>
  </si>
  <si>
    <t>total</t>
  </si>
  <si>
    <t>residual</t>
  </si>
  <si>
    <t>post_priors</t>
  </si>
  <si>
    <t>post_priors_indq</t>
  </si>
  <si>
    <t>fpen</t>
  </si>
  <si>
    <t>length_like_ind</t>
  </si>
  <si>
    <t>catch_like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</si>
</sst>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"/>
  </numFmts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8" fontId="0" fillId="0" borderId="0" xfId="0" applyNumberFormat="1"/>
    <xf numFmtId="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showGridLines="0" tabSelected="1" zoomScale="241" workbookViewId="0">
      <pane xSplit="1" ySplit="1" topLeftCell="B21" activePane="bottomRight" state="frozen"/>
      <selection pane="topRight" activeCell="B1" sqref="B1"/>
      <selection pane="bottomLeft" activeCell="A2" sqref="A2"/>
      <selection pane="bottomRight" activeCell="A15" sqref="A15"/>
    </sheetView>
  </sheetViews>
  <sheetFormatPr baseColWidth="10" defaultColWidth="3.6640625" defaultRowHeight="16"/>
  <cols>
    <col min="1" max="1" width="15.83203125" customWidth="1"/>
    <col min="2" max="19" width="4.6640625" customWidth="1"/>
  </cols>
  <sheetData>
    <row r="1" spans="1:19">
      <c r="B1" s="3">
        <v>1</v>
      </c>
      <c r="C1" s="3">
        <v>1.1000000000000001</v>
      </c>
      <c r="D1" s="3">
        <v>1.2</v>
      </c>
      <c r="E1" s="3">
        <v>1.3</v>
      </c>
      <c r="F1" s="3">
        <v>1.4</v>
      </c>
      <c r="G1" s="3">
        <v>1.5</v>
      </c>
      <c r="H1" s="3">
        <v>1.6</v>
      </c>
      <c r="I1" s="3">
        <v>1.7</v>
      </c>
      <c r="J1" s="3">
        <v>1.8</v>
      </c>
      <c r="K1" s="3">
        <v>1.9</v>
      </c>
      <c r="L1" s="3">
        <v>1.1000000000000001</v>
      </c>
      <c r="M1" s="3">
        <v>1.1100000000000001</v>
      </c>
      <c r="N1" s="3">
        <v>1.1200000000000001</v>
      </c>
      <c r="O1" s="3">
        <v>1.1299999999999999</v>
      </c>
      <c r="P1" s="3">
        <v>1.1399999999999999</v>
      </c>
      <c r="Q1" s="3">
        <v>1.1499999999999999</v>
      </c>
    </row>
    <row r="2" spans="1:19">
      <c r="A2" s="3" t="s">
        <v>35</v>
      </c>
      <c r="B2" s="2">
        <v>2.1800000000000002</v>
      </c>
      <c r="C2" s="2">
        <v>2.1800000000000002</v>
      </c>
      <c r="D2" s="2">
        <v>2.16</v>
      </c>
      <c r="E2" s="2">
        <v>2.15</v>
      </c>
      <c r="F2" s="2">
        <v>2.1800000000000002</v>
      </c>
      <c r="G2" s="2">
        <v>1.73</v>
      </c>
      <c r="H2" s="2">
        <v>1.82</v>
      </c>
      <c r="I2" s="2">
        <v>1.51</v>
      </c>
      <c r="J2" s="2">
        <v>0.5</v>
      </c>
      <c r="K2" s="2">
        <v>0.42</v>
      </c>
      <c r="L2" s="2">
        <v>1.19</v>
      </c>
      <c r="M2" s="2">
        <v>1.02</v>
      </c>
      <c r="N2" s="2">
        <v>1.81</v>
      </c>
      <c r="O2" s="2">
        <v>1.37</v>
      </c>
      <c r="P2" s="2">
        <v>1.5</v>
      </c>
      <c r="Q2" s="2">
        <v>1.7</v>
      </c>
      <c r="S2" s="2">
        <f>MIN(B2:Q2)</f>
        <v>0.42</v>
      </c>
    </row>
    <row r="3" spans="1:19">
      <c r="A3" s="3" t="s">
        <v>28</v>
      </c>
      <c r="B3" s="2">
        <v>424.94</v>
      </c>
      <c r="C3" s="2">
        <v>426.92</v>
      </c>
      <c r="D3" s="2">
        <v>428.31</v>
      </c>
      <c r="E3" s="2">
        <v>427.82</v>
      </c>
      <c r="F3" s="2">
        <v>425.59</v>
      </c>
      <c r="G3" s="2">
        <v>422.82</v>
      </c>
      <c r="H3" s="2">
        <v>420.99</v>
      </c>
      <c r="I3" s="2">
        <v>419.94</v>
      </c>
      <c r="J3" s="2">
        <v>394.25</v>
      </c>
      <c r="K3" s="2">
        <v>394.48</v>
      </c>
      <c r="L3" s="2">
        <v>417.53</v>
      </c>
      <c r="M3" s="2">
        <v>342.4</v>
      </c>
      <c r="N3" s="2">
        <v>420.01</v>
      </c>
      <c r="O3" s="2">
        <v>322.19</v>
      </c>
      <c r="P3" s="2">
        <v>517.38</v>
      </c>
      <c r="Q3" s="2">
        <v>422.45</v>
      </c>
      <c r="S3" s="2">
        <f>MIN(B3:Q3)</f>
        <v>322.19</v>
      </c>
    </row>
    <row r="4" spans="1:19">
      <c r="A4" s="3" t="s">
        <v>27</v>
      </c>
      <c r="B4" s="2">
        <v>459.57</v>
      </c>
      <c r="C4" s="2">
        <v>460.05</v>
      </c>
      <c r="D4" s="2">
        <v>462.12</v>
      </c>
      <c r="E4" s="2">
        <v>462.11</v>
      </c>
      <c r="F4" s="2">
        <v>458.78</v>
      </c>
      <c r="G4" s="2">
        <v>457.96</v>
      </c>
      <c r="H4" s="2">
        <v>458.17</v>
      </c>
      <c r="I4" s="2">
        <v>457.25</v>
      </c>
      <c r="J4" s="2">
        <v>426.2</v>
      </c>
      <c r="K4" s="2">
        <v>426.48</v>
      </c>
      <c r="L4" s="2">
        <v>451.6</v>
      </c>
      <c r="M4" s="2">
        <v>456.68</v>
      </c>
      <c r="N4" s="2">
        <v>457.27</v>
      </c>
      <c r="O4" s="2">
        <v>434.78</v>
      </c>
      <c r="P4" s="2">
        <v>372.68</v>
      </c>
      <c r="Q4" s="2">
        <v>457.91</v>
      </c>
      <c r="S4" s="2">
        <f>MIN(B4:Q4)</f>
        <v>372.68</v>
      </c>
    </row>
    <row r="5" spans="1:19">
      <c r="A5" s="3" t="s">
        <v>26</v>
      </c>
      <c r="B5" s="2">
        <v>299.27999999999997</v>
      </c>
      <c r="C5" s="2">
        <v>302.62</v>
      </c>
      <c r="D5" s="2">
        <v>303.72000000000003</v>
      </c>
      <c r="E5" s="2">
        <v>303.79000000000002</v>
      </c>
      <c r="F5" s="2">
        <v>300.02999999999997</v>
      </c>
      <c r="G5" s="2">
        <v>299.08999999999997</v>
      </c>
      <c r="H5" s="2">
        <v>299.3</v>
      </c>
      <c r="I5" s="2">
        <v>299.69</v>
      </c>
      <c r="J5" s="2">
        <v>284.93</v>
      </c>
      <c r="K5" s="2">
        <v>287.13</v>
      </c>
      <c r="L5" s="2">
        <v>293.13</v>
      </c>
      <c r="M5" s="2">
        <v>317.67</v>
      </c>
      <c r="N5" s="2">
        <v>300.54000000000002</v>
      </c>
      <c r="O5" s="2">
        <v>246.77</v>
      </c>
      <c r="P5" s="2">
        <v>262</v>
      </c>
      <c r="Q5" s="2">
        <v>299.04000000000002</v>
      </c>
      <c r="S5" s="2">
        <f>MIN(B5:Q5)</f>
        <v>246.77</v>
      </c>
    </row>
    <row r="6" spans="1:19">
      <c r="A6" s="3" t="s">
        <v>25</v>
      </c>
      <c r="B6" s="2">
        <v>318.73</v>
      </c>
      <c r="C6" s="2">
        <v>320.27</v>
      </c>
      <c r="D6" s="2">
        <v>319.42</v>
      </c>
      <c r="E6" s="2">
        <v>322.97000000000003</v>
      </c>
      <c r="F6" s="2">
        <v>319.01</v>
      </c>
      <c r="G6" s="2">
        <v>293.77</v>
      </c>
      <c r="H6" s="2">
        <v>283.27</v>
      </c>
      <c r="I6" s="2">
        <v>281.61</v>
      </c>
      <c r="J6" s="2">
        <v>22.67</v>
      </c>
      <c r="K6" s="2">
        <v>24.33</v>
      </c>
      <c r="L6" s="2">
        <v>233.6</v>
      </c>
      <c r="M6" s="2">
        <v>226.79</v>
      </c>
      <c r="N6" s="2">
        <v>281.05</v>
      </c>
      <c r="O6" s="2">
        <v>277.33</v>
      </c>
      <c r="P6" s="2">
        <v>190.02</v>
      </c>
      <c r="Q6" s="2">
        <v>294.49</v>
      </c>
      <c r="S6" s="2">
        <f>MIN(B6:Q6)</f>
        <v>22.67</v>
      </c>
    </row>
    <row r="7" spans="1:19">
      <c r="A7" s="3" t="s">
        <v>24</v>
      </c>
      <c r="B7" s="2">
        <v>249.57</v>
      </c>
      <c r="C7" s="2">
        <v>265.74</v>
      </c>
      <c r="D7" s="2">
        <v>280.22000000000003</v>
      </c>
      <c r="E7" s="2">
        <v>282.61</v>
      </c>
      <c r="F7" s="2">
        <v>246.27</v>
      </c>
      <c r="G7" s="2">
        <v>248.84</v>
      </c>
      <c r="H7" s="2">
        <v>249.07</v>
      </c>
      <c r="I7" s="2">
        <v>248.09</v>
      </c>
      <c r="J7" s="2">
        <v>38.54</v>
      </c>
      <c r="K7" s="2">
        <v>39.01</v>
      </c>
      <c r="L7" s="2">
        <v>118.69</v>
      </c>
      <c r="M7" s="2">
        <v>247.81</v>
      </c>
      <c r="N7" s="2">
        <v>248.08</v>
      </c>
      <c r="O7" s="2">
        <v>90.55</v>
      </c>
      <c r="P7" s="2">
        <v>-53.41</v>
      </c>
      <c r="Q7" s="2">
        <v>248.72</v>
      </c>
      <c r="S7" s="2">
        <f>MIN(B7:Q7)</f>
        <v>-53.41</v>
      </c>
    </row>
    <row r="8" spans="1:19">
      <c r="A8" s="3" t="s">
        <v>34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S8" s="2">
        <f>MIN(B8:Q8)</f>
        <v>0</v>
      </c>
    </row>
    <row r="9" spans="1:19">
      <c r="A9" s="3" t="s">
        <v>23</v>
      </c>
      <c r="B9" s="2">
        <v>36.549999999999997</v>
      </c>
      <c r="C9" s="2">
        <v>27.13</v>
      </c>
      <c r="D9" s="2">
        <v>19.53</v>
      </c>
      <c r="E9" s="2">
        <v>16.43</v>
      </c>
      <c r="F9" s="2">
        <v>38.65</v>
      </c>
      <c r="G9" s="2">
        <v>38.869999999999997</v>
      </c>
      <c r="H9" s="2">
        <v>38.78</v>
      </c>
      <c r="I9" s="2">
        <v>39.090000000000003</v>
      </c>
      <c r="J9" s="2">
        <v>4.5999999999999996</v>
      </c>
      <c r="K9" s="2">
        <v>4.71</v>
      </c>
      <c r="L9" s="2">
        <v>20.6</v>
      </c>
      <c r="M9" s="2">
        <v>39.57</v>
      </c>
      <c r="N9" s="2">
        <v>40.18</v>
      </c>
      <c r="O9" s="2">
        <v>13.1</v>
      </c>
      <c r="P9" s="2">
        <v>48.9</v>
      </c>
      <c r="Q9" s="2">
        <v>38.9</v>
      </c>
      <c r="S9" s="2">
        <f>MIN(B9:Q9)</f>
        <v>4.5999999999999996</v>
      </c>
    </row>
    <row r="10" spans="1:19">
      <c r="A10" s="3" t="s">
        <v>22</v>
      </c>
      <c r="B10" s="2">
        <v>26.76</v>
      </c>
      <c r="C10" s="2">
        <v>29.52</v>
      </c>
      <c r="D10" s="2">
        <v>30.97</v>
      </c>
      <c r="E10" s="2">
        <v>30.89</v>
      </c>
      <c r="F10" s="2">
        <v>26.8</v>
      </c>
      <c r="G10" s="2">
        <v>24.96</v>
      </c>
      <c r="H10" s="2">
        <v>25.39</v>
      </c>
      <c r="I10" s="2">
        <v>23.06</v>
      </c>
      <c r="J10" s="2">
        <v>31.37</v>
      </c>
      <c r="K10" s="2">
        <v>25.44</v>
      </c>
      <c r="L10" s="2">
        <v>28.05</v>
      </c>
      <c r="M10" s="2">
        <v>9.2100000000000009</v>
      </c>
      <c r="N10" s="2">
        <v>23.28</v>
      </c>
      <c r="O10" s="2">
        <v>9.5399999999999991</v>
      </c>
      <c r="P10" s="2">
        <v>24.93</v>
      </c>
      <c r="Q10" s="2">
        <v>24.74</v>
      </c>
      <c r="S10" s="2">
        <f>MIN(B10:Q10)</f>
        <v>9.2100000000000009</v>
      </c>
    </row>
    <row r="11" spans="1:19">
      <c r="A11" s="3" t="s">
        <v>33</v>
      </c>
      <c r="B11" s="2">
        <v>0.01</v>
      </c>
      <c r="C11" s="2">
        <v>0.01</v>
      </c>
      <c r="D11" s="2">
        <v>0.01</v>
      </c>
      <c r="E11" s="2">
        <v>0.01</v>
      </c>
      <c r="F11" s="2">
        <v>0.01</v>
      </c>
      <c r="G11" s="2">
        <v>0.01</v>
      </c>
      <c r="H11" s="2">
        <v>0.01</v>
      </c>
      <c r="I11" s="2">
        <v>0.01</v>
      </c>
      <c r="J11" s="2">
        <v>0.01</v>
      </c>
      <c r="K11" s="2">
        <v>0.01</v>
      </c>
      <c r="L11" s="2">
        <v>0.01</v>
      </c>
      <c r="M11" s="2">
        <v>0.01</v>
      </c>
      <c r="N11" s="2">
        <v>0.01</v>
      </c>
      <c r="O11" s="2">
        <v>0.01</v>
      </c>
      <c r="P11" s="2">
        <v>0.02</v>
      </c>
      <c r="Q11" s="2">
        <v>0.01</v>
      </c>
      <c r="S11" s="2">
        <f>MIN(B11:Q11)</f>
        <v>0.01</v>
      </c>
    </row>
    <row r="12" spans="1:19">
      <c r="A12" s="3" t="s">
        <v>32</v>
      </c>
      <c r="B12" s="2">
        <v>0.3</v>
      </c>
      <c r="C12" s="2">
        <v>0.3</v>
      </c>
      <c r="D12" s="2">
        <v>0.38</v>
      </c>
      <c r="E12" s="2">
        <v>0.38</v>
      </c>
      <c r="F12" s="2">
        <v>0.3</v>
      </c>
      <c r="G12" s="2">
        <v>0.28999999999999998</v>
      </c>
      <c r="H12" s="2">
        <v>0.28999999999999998</v>
      </c>
      <c r="I12" s="2">
        <v>0.28000000000000003</v>
      </c>
      <c r="J12" s="2">
        <v>0.21</v>
      </c>
      <c r="K12" s="2">
        <v>0.22</v>
      </c>
      <c r="L12" s="2">
        <v>0.27</v>
      </c>
      <c r="M12" s="2">
        <v>0.26</v>
      </c>
      <c r="N12" s="2">
        <v>0.21</v>
      </c>
      <c r="O12" s="2">
        <v>0.21</v>
      </c>
      <c r="P12" s="2">
        <v>0.33</v>
      </c>
      <c r="Q12" s="2">
        <v>0.28000000000000003</v>
      </c>
      <c r="S12" s="2">
        <f>MIN(B12:Q12)</f>
        <v>0.21</v>
      </c>
    </row>
    <row r="13" spans="1:19">
      <c r="A13" s="3" t="s">
        <v>31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S13" s="2">
        <f>MIN(B13:Q13)</f>
        <v>0</v>
      </c>
    </row>
    <row r="14" spans="1:19">
      <c r="A14" s="3" t="s">
        <v>30</v>
      </c>
      <c r="B14" s="2">
        <v>0.03</v>
      </c>
      <c r="C14" s="2">
        <v>0.02</v>
      </c>
      <c r="D14" s="2">
        <v>0.02</v>
      </c>
      <c r="E14" s="2">
        <v>0.02</v>
      </c>
      <c r="F14" s="2">
        <v>0.03</v>
      </c>
      <c r="G14" s="2">
        <v>0.03</v>
      </c>
      <c r="H14" s="2">
        <v>0.03</v>
      </c>
      <c r="I14" s="2">
        <v>0.03</v>
      </c>
      <c r="J14" s="2">
        <v>0.05</v>
      </c>
      <c r="K14" s="2">
        <v>0.04</v>
      </c>
      <c r="L14" s="2">
        <v>0.05</v>
      </c>
      <c r="M14" s="2">
        <v>0.03</v>
      </c>
      <c r="N14" s="2">
        <v>0.03</v>
      </c>
      <c r="O14" s="2">
        <v>0.04</v>
      </c>
      <c r="P14" s="2">
        <v>7.0000000000000007E-2</v>
      </c>
      <c r="Q14" s="2">
        <v>0.03</v>
      </c>
      <c r="S14" s="2">
        <f>MIN(B14:Q14)</f>
        <v>0.02</v>
      </c>
    </row>
    <row r="15" spans="1:19">
      <c r="A15" s="3" t="s">
        <v>29</v>
      </c>
      <c r="B15" s="2">
        <v>1817.93</v>
      </c>
      <c r="C15" s="2">
        <v>1834.75</v>
      </c>
      <c r="D15" s="2">
        <v>1846.86</v>
      </c>
      <c r="E15" s="2">
        <v>1849.17</v>
      </c>
      <c r="F15" s="2">
        <v>1817.64</v>
      </c>
      <c r="G15" s="2">
        <v>1788.37</v>
      </c>
      <c r="H15" s="2">
        <v>1777.11</v>
      </c>
      <c r="I15" s="2">
        <v>1770.56</v>
      </c>
      <c r="J15" s="2">
        <v>1203.3399999999999</v>
      </c>
      <c r="K15" s="2">
        <v>1202.28</v>
      </c>
      <c r="L15" s="2">
        <v>1564.72</v>
      </c>
      <c r="M15" s="2">
        <v>1641.45</v>
      </c>
      <c r="N15" s="2">
        <v>1772.46</v>
      </c>
      <c r="O15" s="2">
        <v>1395.9</v>
      </c>
      <c r="P15" s="2">
        <v>1364.43</v>
      </c>
      <c r="Q15" s="2">
        <v>1788.28</v>
      </c>
      <c r="S15" s="2">
        <f>MIN(B15:Q15)</f>
        <v>1202.28</v>
      </c>
    </row>
    <row r="17" spans="1:17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3" t="s">
        <v>28</v>
      </c>
      <c r="B18" s="2">
        <f>B3-$S3</f>
        <v>102.75</v>
      </c>
      <c r="C18" s="2">
        <f>C3-$S3</f>
        <v>104.73000000000002</v>
      </c>
      <c r="D18" s="2">
        <f>D3-$S3</f>
        <v>106.12</v>
      </c>
      <c r="E18" s="2">
        <f>E3-$S3</f>
        <v>105.63</v>
      </c>
      <c r="F18" s="2">
        <f>F3-$S3</f>
        <v>103.39999999999998</v>
      </c>
      <c r="G18" s="2">
        <f>G3-$S3</f>
        <v>100.63</v>
      </c>
      <c r="H18" s="2">
        <f>H3-$S3</f>
        <v>98.800000000000011</v>
      </c>
      <c r="I18" s="2">
        <f>I3-$S3</f>
        <v>97.75</v>
      </c>
      <c r="J18" s="2">
        <f>J3-$S3</f>
        <v>72.06</v>
      </c>
      <c r="K18" s="2">
        <f>K3-$S3</f>
        <v>72.29000000000002</v>
      </c>
      <c r="L18" s="2">
        <f>L3-$S3</f>
        <v>95.339999999999975</v>
      </c>
      <c r="M18" s="2">
        <f>M3-$S3</f>
        <v>20.20999999999998</v>
      </c>
      <c r="N18" s="2">
        <f>N3-$S3</f>
        <v>97.82</v>
      </c>
      <c r="O18" s="2">
        <f>O3-$S3</f>
        <v>0</v>
      </c>
      <c r="P18" s="2">
        <f>P3-$S3</f>
        <v>195.19</v>
      </c>
      <c r="Q18" s="2">
        <f>Q3-$S3</f>
        <v>100.25999999999999</v>
      </c>
    </row>
    <row r="19" spans="1:17">
      <c r="A19" s="3" t="s">
        <v>27</v>
      </c>
      <c r="B19" s="2">
        <f>B4-$S4</f>
        <v>86.889999999999986</v>
      </c>
      <c r="C19" s="2">
        <f>C4-$S4</f>
        <v>87.37</v>
      </c>
      <c r="D19" s="2">
        <f>D4-$S4</f>
        <v>89.44</v>
      </c>
      <c r="E19" s="2">
        <f>E4-$S4</f>
        <v>89.43</v>
      </c>
      <c r="F19" s="2">
        <f>F4-$S4</f>
        <v>86.099999999999966</v>
      </c>
      <c r="G19" s="2">
        <f>G4-$S4</f>
        <v>85.279999999999973</v>
      </c>
      <c r="H19" s="2">
        <f>H4-$S4</f>
        <v>85.490000000000009</v>
      </c>
      <c r="I19" s="2">
        <f>I4-$S4</f>
        <v>84.57</v>
      </c>
      <c r="J19" s="2">
        <f>J4-$S4</f>
        <v>53.519999999999982</v>
      </c>
      <c r="K19" s="2">
        <f>K4-$S4</f>
        <v>53.800000000000011</v>
      </c>
      <c r="L19" s="2">
        <f>L4-$S4</f>
        <v>78.920000000000016</v>
      </c>
      <c r="M19" s="2">
        <f>M4-$S4</f>
        <v>84</v>
      </c>
      <c r="N19" s="2">
        <f>N4-$S4</f>
        <v>84.589999999999975</v>
      </c>
      <c r="O19" s="2">
        <f>O4-$S4</f>
        <v>62.099999999999966</v>
      </c>
      <c r="P19" s="2">
        <f>P4-$S4</f>
        <v>0</v>
      </c>
      <c r="Q19" s="2">
        <f>Q4-$S4</f>
        <v>85.230000000000018</v>
      </c>
    </row>
    <row r="20" spans="1:17">
      <c r="A20" s="3" t="s">
        <v>26</v>
      </c>
      <c r="B20" s="2">
        <f>B5-$S5</f>
        <v>52.509999999999962</v>
      </c>
      <c r="C20" s="2">
        <f>C5-$S5</f>
        <v>55.849999999999994</v>
      </c>
      <c r="D20" s="2">
        <f>D5-$S5</f>
        <v>56.950000000000017</v>
      </c>
      <c r="E20" s="2">
        <f>E5-$S5</f>
        <v>57.02000000000001</v>
      </c>
      <c r="F20" s="2">
        <f>F5-$S5</f>
        <v>53.259999999999962</v>
      </c>
      <c r="G20" s="2">
        <f>G5-$S5</f>
        <v>52.319999999999965</v>
      </c>
      <c r="H20" s="2">
        <f>H5-$S5</f>
        <v>52.53</v>
      </c>
      <c r="I20" s="2">
        <f>I5-$S5</f>
        <v>52.919999999999987</v>
      </c>
      <c r="J20" s="2">
        <f>J5-$S5</f>
        <v>38.159999999999997</v>
      </c>
      <c r="K20" s="2">
        <f>K5-$S5</f>
        <v>40.359999999999985</v>
      </c>
      <c r="L20" s="2">
        <f>L5-$S5</f>
        <v>46.359999999999985</v>
      </c>
      <c r="M20" s="2">
        <f>M5-$S5</f>
        <v>70.900000000000006</v>
      </c>
      <c r="N20" s="2">
        <f>N5-$S5</f>
        <v>53.77000000000001</v>
      </c>
      <c r="O20" s="2">
        <f>O5-$S5</f>
        <v>0</v>
      </c>
      <c r="P20" s="2">
        <f>P5-$S5</f>
        <v>15.22999999999999</v>
      </c>
      <c r="Q20" s="2">
        <f>Q5-$S5</f>
        <v>52.27000000000001</v>
      </c>
    </row>
    <row r="21" spans="1:17">
      <c r="A21" s="3" t="s">
        <v>25</v>
      </c>
      <c r="B21" s="2">
        <f>B6-$S6</f>
        <v>296.06</v>
      </c>
      <c r="C21" s="2">
        <f>C6-$S6</f>
        <v>297.59999999999997</v>
      </c>
      <c r="D21" s="2">
        <f>D6-$S6</f>
        <v>296.75</v>
      </c>
      <c r="E21" s="2">
        <f>E6-$S6</f>
        <v>300.3</v>
      </c>
      <c r="F21" s="2">
        <f>F6-$S6</f>
        <v>296.33999999999997</v>
      </c>
      <c r="G21" s="2">
        <f>G6-$S6</f>
        <v>271.09999999999997</v>
      </c>
      <c r="H21" s="2">
        <f>H6-$S6</f>
        <v>260.59999999999997</v>
      </c>
      <c r="I21" s="2">
        <f>I6-$S6</f>
        <v>258.94</v>
      </c>
      <c r="J21" s="2">
        <f>J6-$S6</f>
        <v>0</v>
      </c>
      <c r="K21" s="2">
        <f>K6-$S6</f>
        <v>1.6599999999999966</v>
      </c>
      <c r="L21" s="2">
        <f>L6-$S6</f>
        <v>210.93</v>
      </c>
      <c r="M21" s="2">
        <f>M6-$S6</f>
        <v>204.12</v>
      </c>
      <c r="N21" s="2">
        <f>N6-$S6</f>
        <v>258.38</v>
      </c>
      <c r="O21" s="2">
        <f>O6-$S6</f>
        <v>254.65999999999997</v>
      </c>
      <c r="P21" s="2">
        <f>P6-$S6</f>
        <v>167.35000000000002</v>
      </c>
      <c r="Q21" s="2">
        <f>Q6-$S6</f>
        <v>271.82</v>
      </c>
    </row>
    <row r="22" spans="1:17">
      <c r="A22" s="3" t="s">
        <v>24</v>
      </c>
      <c r="B22" s="2">
        <f>B7-$S7</f>
        <v>302.98</v>
      </c>
      <c r="C22" s="2">
        <f>C7-$S7</f>
        <v>319.14999999999998</v>
      </c>
      <c r="D22" s="2">
        <f>D7-$S7</f>
        <v>333.63</v>
      </c>
      <c r="E22" s="2">
        <f>E7-$S7</f>
        <v>336.02</v>
      </c>
      <c r="F22" s="2">
        <f>F7-$S7</f>
        <v>299.68</v>
      </c>
      <c r="G22" s="2">
        <f>G7-$S7</f>
        <v>302.25</v>
      </c>
      <c r="H22" s="2">
        <f>H7-$S7</f>
        <v>302.48</v>
      </c>
      <c r="I22" s="2">
        <f>I7-$S7</f>
        <v>301.5</v>
      </c>
      <c r="J22" s="2">
        <f>J7-$S7</f>
        <v>91.949999999999989</v>
      </c>
      <c r="K22" s="2">
        <f>K7-$S7</f>
        <v>92.419999999999987</v>
      </c>
      <c r="L22" s="2">
        <f>L7-$S7</f>
        <v>172.1</v>
      </c>
      <c r="M22" s="2">
        <f>M7-$S7</f>
        <v>301.22000000000003</v>
      </c>
      <c r="N22" s="2">
        <f>N7-$S7</f>
        <v>301.49</v>
      </c>
      <c r="O22" s="2">
        <f>O7-$S7</f>
        <v>143.95999999999998</v>
      </c>
      <c r="P22" s="2">
        <f>P7-$S7</f>
        <v>0</v>
      </c>
      <c r="Q22" s="2">
        <f>Q7-$S7</f>
        <v>302.13</v>
      </c>
    </row>
    <row r="23" spans="1:17">
      <c r="A23" s="3" t="s">
        <v>23</v>
      </c>
      <c r="B23" s="2">
        <f>B9-$S9</f>
        <v>31.949999999999996</v>
      </c>
      <c r="C23" s="2">
        <f>C9-$S9</f>
        <v>22.53</v>
      </c>
      <c r="D23" s="2">
        <f>D9-$S9</f>
        <v>14.930000000000001</v>
      </c>
      <c r="E23" s="2">
        <f>E9-$S9</f>
        <v>11.83</v>
      </c>
      <c r="F23" s="2">
        <f>F9-$S9</f>
        <v>34.049999999999997</v>
      </c>
      <c r="G23" s="2">
        <f>G9-$S9</f>
        <v>34.269999999999996</v>
      </c>
      <c r="H23" s="2">
        <f>H9-$S9</f>
        <v>34.18</v>
      </c>
      <c r="I23" s="2">
        <f>I9-$S9</f>
        <v>34.49</v>
      </c>
      <c r="J23" s="2">
        <f>J9-$S9</f>
        <v>0</v>
      </c>
      <c r="K23" s="2">
        <f>K9-$S9</f>
        <v>0.11000000000000032</v>
      </c>
      <c r="L23" s="2">
        <f>L9-$S9</f>
        <v>16</v>
      </c>
      <c r="M23" s="2">
        <f>M9-$S9</f>
        <v>34.97</v>
      </c>
      <c r="N23" s="2">
        <f>N9-$S9</f>
        <v>35.58</v>
      </c>
      <c r="O23" s="2">
        <f>O9-$S9</f>
        <v>8.5</v>
      </c>
      <c r="P23" s="2">
        <f>P9-$S9</f>
        <v>44.3</v>
      </c>
      <c r="Q23" s="2">
        <f>Q9-$S9</f>
        <v>34.299999999999997</v>
      </c>
    </row>
    <row r="24" spans="1:17">
      <c r="A24" s="3" t="s">
        <v>22</v>
      </c>
      <c r="B24" s="2">
        <f>B10-$S10</f>
        <v>17.55</v>
      </c>
      <c r="C24" s="2">
        <f>C10-$S10</f>
        <v>20.309999999999999</v>
      </c>
      <c r="D24" s="2">
        <f>D10-$S10</f>
        <v>21.759999999999998</v>
      </c>
      <c r="E24" s="2">
        <f>E10-$S10</f>
        <v>21.68</v>
      </c>
      <c r="F24" s="2">
        <f>F10-$S10</f>
        <v>17.59</v>
      </c>
      <c r="G24" s="2">
        <f>G10-$S10</f>
        <v>15.75</v>
      </c>
      <c r="H24" s="2">
        <f>H10-$S10</f>
        <v>16.18</v>
      </c>
      <c r="I24" s="2">
        <f>I10-$S10</f>
        <v>13.849999999999998</v>
      </c>
      <c r="J24" s="2">
        <f>J10-$S10</f>
        <v>22.16</v>
      </c>
      <c r="K24" s="2">
        <f>K10-$S10</f>
        <v>16.23</v>
      </c>
      <c r="L24" s="2">
        <f>L10-$S10</f>
        <v>18.84</v>
      </c>
      <c r="M24" s="2">
        <f>M10-$S10</f>
        <v>0</v>
      </c>
      <c r="N24" s="2">
        <f>N10-$S10</f>
        <v>14.07</v>
      </c>
      <c r="O24" s="2">
        <f>O10-$S10</f>
        <v>0.32999999999999829</v>
      </c>
      <c r="P24" s="2">
        <f>P10-$S10</f>
        <v>15.719999999999999</v>
      </c>
      <c r="Q24" s="2">
        <f>Q10-$S10</f>
        <v>15.529999999999998</v>
      </c>
    </row>
    <row r="26" spans="1:17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showGridLines="0" zoomScale="284" workbookViewId="0">
      <selection activeCell="B2" sqref="B2:G17"/>
    </sheetView>
  </sheetViews>
  <sheetFormatPr baseColWidth="10" defaultRowHeight="16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 s="1">
        <v>0.79253200000000001</v>
      </c>
      <c r="C2" s="1">
        <v>0.64407599999999998</v>
      </c>
      <c r="D2" s="1">
        <v>0.45226100000000002</v>
      </c>
      <c r="E2" s="1">
        <v>0.18323500000000001</v>
      </c>
      <c r="F2" s="1">
        <v>0.18681900000000001</v>
      </c>
      <c r="G2" s="1">
        <v>1.3796600000000001</v>
      </c>
    </row>
    <row r="3" spans="1:7">
      <c r="A3" t="s">
        <v>7</v>
      </c>
      <c r="B3" s="1">
        <v>0.75714199999999998</v>
      </c>
      <c r="C3" s="1">
        <v>0.64418900000000001</v>
      </c>
      <c r="D3" s="1">
        <v>0.45187100000000002</v>
      </c>
      <c r="E3" s="1">
        <v>0.18334400000000001</v>
      </c>
      <c r="F3" s="1">
        <v>0.155501</v>
      </c>
      <c r="G3" s="1">
        <v>1.3764000000000001</v>
      </c>
    </row>
    <row r="4" spans="1:7">
      <c r="A4" t="s">
        <v>8</v>
      </c>
      <c r="B4" s="1">
        <v>0.74923700000000004</v>
      </c>
      <c r="C4" s="1">
        <v>0.62056999999999995</v>
      </c>
      <c r="D4" s="1">
        <v>0.46071200000000001</v>
      </c>
      <c r="E4" s="1">
        <v>0.167325</v>
      </c>
      <c r="F4" s="1">
        <v>0.15237700000000001</v>
      </c>
      <c r="G4" s="1">
        <v>1.46001</v>
      </c>
    </row>
    <row r="5" spans="1:7">
      <c r="A5" t="s">
        <v>9</v>
      </c>
      <c r="B5" s="1">
        <v>0.75079899999999999</v>
      </c>
      <c r="C5" s="1">
        <v>0.62761500000000003</v>
      </c>
      <c r="D5" s="1">
        <v>0.46327800000000002</v>
      </c>
      <c r="E5" s="1">
        <v>0.16605300000000001</v>
      </c>
      <c r="F5" s="1">
        <v>0.152478</v>
      </c>
      <c r="G5" s="1">
        <v>0.81427099999999997</v>
      </c>
    </row>
    <row r="6" spans="1:7">
      <c r="A6" t="s">
        <v>10</v>
      </c>
      <c r="B6" s="1">
        <v>0.78380399999999995</v>
      </c>
      <c r="C6" s="1">
        <v>0.64515199999999995</v>
      </c>
      <c r="D6" s="1">
        <v>0.45108500000000001</v>
      </c>
      <c r="E6" s="1">
        <v>0.18318899999999999</v>
      </c>
      <c r="F6" s="1">
        <v>0.17095299999999999</v>
      </c>
      <c r="G6" s="1">
        <v>1.3862699999999999</v>
      </c>
    </row>
    <row r="7" spans="1:7">
      <c r="A7" t="s">
        <v>11</v>
      </c>
      <c r="B7" s="1">
        <v>0.78202400000000005</v>
      </c>
      <c r="C7" s="1">
        <v>0.68046399999999996</v>
      </c>
      <c r="D7" s="1">
        <v>0.42588300000000001</v>
      </c>
      <c r="E7" s="1">
        <v>0.179725</v>
      </c>
      <c r="F7" s="1">
        <v>0.164413</v>
      </c>
      <c r="G7" s="1">
        <v>1.3257099999999999</v>
      </c>
    </row>
    <row r="8" spans="1:7">
      <c r="A8" t="s">
        <v>12</v>
      </c>
      <c r="B8" s="1">
        <v>0.77128399999999997</v>
      </c>
      <c r="C8" s="1">
        <v>0.67591999999999997</v>
      </c>
      <c r="D8" s="1">
        <v>0.41638900000000001</v>
      </c>
      <c r="E8" s="1">
        <v>0.17972199999999999</v>
      </c>
      <c r="F8" s="1">
        <v>0.16051799999999999</v>
      </c>
      <c r="G8" s="1">
        <v>1.32443</v>
      </c>
    </row>
    <row r="9" spans="1:7">
      <c r="A9" t="s">
        <v>13</v>
      </c>
      <c r="B9" s="1">
        <v>0.78966599999999998</v>
      </c>
      <c r="C9" s="1">
        <v>0.67186999999999997</v>
      </c>
      <c r="D9" s="1">
        <v>0.42191699999999999</v>
      </c>
      <c r="E9" s="1">
        <v>0.176181</v>
      </c>
      <c r="F9" s="1">
        <v>0.16997999999999999</v>
      </c>
      <c r="G9" s="1">
        <v>1.2456799999999999</v>
      </c>
    </row>
    <row r="10" spans="1:7">
      <c r="A10" t="s">
        <v>14</v>
      </c>
      <c r="B10" s="1">
        <v>0.81562100000000004</v>
      </c>
      <c r="C10" s="1">
        <v>0.91255200000000003</v>
      </c>
      <c r="D10" s="1">
        <v>0.48766799999999999</v>
      </c>
      <c r="E10" s="1">
        <v>1.81504</v>
      </c>
      <c r="F10" s="1">
        <v>1.3388199999999999</v>
      </c>
      <c r="G10" s="1">
        <v>13.8811</v>
      </c>
    </row>
    <row r="11" spans="1:7">
      <c r="A11" t="s">
        <v>15</v>
      </c>
      <c r="B11" s="1">
        <v>0.86852499999999999</v>
      </c>
      <c r="C11" s="1">
        <v>0.93975699999999995</v>
      </c>
      <c r="D11" s="1">
        <v>0.483707</v>
      </c>
      <c r="E11" s="1">
        <v>1.7399800000000001</v>
      </c>
      <c r="F11" s="1">
        <v>1.3550500000000001</v>
      </c>
      <c r="G11" s="1">
        <v>12.914099999999999</v>
      </c>
    </row>
    <row r="12" spans="1:7">
      <c r="A12" t="s">
        <v>16</v>
      </c>
      <c r="B12" s="1">
        <v>0.78285499999999997</v>
      </c>
      <c r="C12" s="1">
        <v>0.71604800000000002</v>
      </c>
      <c r="D12" s="1">
        <v>0.43218800000000002</v>
      </c>
      <c r="E12" s="1">
        <v>0.17894699999999999</v>
      </c>
      <c r="F12" s="1">
        <v>0.16106000000000001</v>
      </c>
      <c r="G12" s="1">
        <v>1.34084</v>
      </c>
    </row>
    <row r="13" spans="1:7">
      <c r="A13" t="s">
        <v>17</v>
      </c>
      <c r="B13" s="1">
        <v>0.65491200000000005</v>
      </c>
      <c r="C13" s="1">
        <v>0.71993600000000002</v>
      </c>
      <c r="D13" s="1">
        <v>0.42030400000000001</v>
      </c>
      <c r="E13" s="1">
        <v>0.17158499999999999</v>
      </c>
      <c r="F13" s="1">
        <v>0.15795500000000001</v>
      </c>
      <c r="G13" s="1">
        <v>1.2105399999999999</v>
      </c>
    </row>
    <row r="14" spans="1:7">
      <c r="A14" t="s">
        <v>18</v>
      </c>
      <c r="B14" s="1">
        <v>0.78620199999999996</v>
      </c>
      <c r="C14" s="1">
        <v>0.69409500000000002</v>
      </c>
      <c r="D14" s="1">
        <v>0.40889700000000001</v>
      </c>
      <c r="E14" s="1">
        <v>0.17098099999999999</v>
      </c>
      <c r="F14" s="1">
        <v>0.16971700000000001</v>
      </c>
      <c r="G14" s="1">
        <v>1.2032099999999999</v>
      </c>
    </row>
    <row r="15" spans="1:7">
      <c r="A15" t="s">
        <v>19</v>
      </c>
      <c r="B15" s="1">
        <v>1.00803</v>
      </c>
      <c r="C15" s="1">
        <v>0.76291100000000001</v>
      </c>
      <c r="D15" s="1">
        <v>0.68959599999999999</v>
      </c>
      <c r="E15" s="1">
        <v>0.75505199999999995</v>
      </c>
      <c r="F15" s="1">
        <v>1.12236</v>
      </c>
      <c r="G15" s="1">
        <v>0.95118899999999995</v>
      </c>
    </row>
    <row r="16" spans="1:7">
      <c r="A16" t="s">
        <v>20</v>
      </c>
      <c r="B16" s="1">
        <v>0.69469400000000003</v>
      </c>
      <c r="C16" s="1">
        <v>0.74757099999999999</v>
      </c>
      <c r="D16" s="1">
        <v>0.42223699999999997</v>
      </c>
      <c r="E16" s="1">
        <v>0.183369</v>
      </c>
      <c r="F16" s="1">
        <v>0.17396900000000001</v>
      </c>
      <c r="G16" s="1">
        <v>1.3035399999999999</v>
      </c>
    </row>
    <row r="17" spans="1:7">
      <c r="A17" t="s">
        <v>21</v>
      </c>
      <c r="B17" s="1">
        <v>0.78437599999999996</v>
      </c>
      <c r="C17" s="1">
        <v>0.68797900000000001</v>
      </c>
      <c r="D17" s="1">
        <v>0.42372799999999999</v>
      </c>
      <c r="E17" s="1">
        <v>0.17932899999999999</v>
      </c>
      <c r="F17" s="1">
        <v>0.16545399999999999</v>
      </c>
      <c r="G17" s="1">
        <v>1.3206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SummaryLikelihoods</vt:lpstr>
      <vt:lpstr>FrancisWeights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Ianelli</dc:creator>
  <cp:lastModifiedBy>Jim Ianelli</cp:lastModifiedBy>
  <dcterms:created xsi:type="dcterms:W3CDTF">2018-05-30T16:59:27Z</dcterms:created>
  <dcterms:modified xsi:type="dcterms:W3CDTF">2018-05-30T19:05:20Z</dcterms:modified>
</cp:coreProperties>
</file>