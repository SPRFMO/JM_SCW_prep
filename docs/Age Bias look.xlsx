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m/_mymods/sprfmo/jjm/docs/"/>
    </mc:Choice>
  </mc:AlternateContent>
  <xr:revisionPtr revIDLastSave="0" documentId="13_ncr:1_{CC6636AE-A597-E446-8385-18335BBB151B}" xr6:coauthVersionLast="33" xr6:coauthVersionMax="33" xr10:uidLastSave="{00000000-0000-0000-0000-000000000000}"/>
  <bookViews>
    <workbookView xWindow="28800" yWindow="460" windowWidth="38400" windowHeight="21140" activeTab="1" xr2:uid="{64DF3874-17F4-3C4A-B2AD-45818EB8D29C}"/>
  </bookViews>
  <sheets>
    <sheet name="Old and Peru maybe" sheetId="2" r:id="rId1"/>
    <sheet name="Old and New" sheetId="1" r:id="rId2"/>
  </sheets>
  <definedNames>
    <definedName name="_xlchart.v1.0" hidden="1">'Old and New'!$T$10:$T$33</definedName>
    <definedName name="_xlchart.v1.1" hidden="1">'Old and New'!$U$10:$U$33</definedName>
    <definedName name="_xlchart.v1.10" hidden="1">'Old and New'!$V$10:$V$33</definedName>
    <definedName name="_xlchart.v1.11" hidden="1">'Old and New'!$V$9</definedName>
    <definedName name="_xlchart.v1.12" hidden="1">'Old and New'!$W$10:$W$33</definedName>
    <definedName name="_xlchart.v1.13" hidden="1">'Old and New'!$W$9</definedName>
    <definedName name="_xlchart.v1.14" hidden="1">'Old and New'!$T$10:$T$33</definedName>
    <definedName name="_xlchart.v1.15" hidden="1">'Old and New'!$U$10:$U$33</definedName>
    <definedName name="_xlchart.v1.16" hidden="1">'Old and New'!$U$9</definedName>
    <definedName name="_xlchart.v1.17" hidden="1">'Old and New'!$V$10:$V$33</definedName>
    <definedName name="_xlchart.v1.18" hidden="1">'Old and New'!$V$9</definedName>
    <definedName name="_xlchart.v1.19" hidden="1">'Old and New'!$W$10:$W$33</definedName>
    <definedName name="_xlchart.v1.2" hidden="1">'Old and New'!$U$9</definedName>
    <definedName name="_xlchart.v1.20" hidden="1">'Old and New'!$W$9</definedName>
    <definedName name="_xlchart.v1.21" hidden="1">'Old and New'!$T$10:$T$33</definedName>
    <definedName name="_xlchart.v1.22" hidden="1">'Old and New'!$U$10:$U$33</definedName>
    <definedName name="_xlchart.v1.23" hidden="1">'Old and New'!$U$9</definedName>
    <definedName name="_xlchart.v1.24" hidden="1">'Old and New'!$V$10:$V$33</definedName>
    <definedName name="_xlchart.v1.25" hidden="1">'Old and New'!$V$9</definedName>
    <definedName name="_xlchart.v1.26" hidden="1">'Old and New'!$W$10:$W$33</definedName>
    <definedName name="_xlchart.v1.27" hidden="1">'Old and New'!$W$9</definedName>
    <definedName name="_xlchart.v1.3" hidden="1">'Old and New'!$V$10:$V$33</definedName>
    <definedName name="_xlchart.v1.4" hidden="1">'Old and New'!$V$9</definedName>
    <definedName name="_xlchart.v1.5" hidden="1">'Old and New'!$W$10:$W$33</definedName>
    <definedName name="_xlchart.v1.6" hidden="1">'Old and New'!$W$9</definedName>
    <definedName name="_xlchart.v1.7" hidden="1">'Old and New'!$T$10:$T$33</definedName>
    <definedName name="_xlchart.v1.8" hidden="1">'Old and New'!$U$10:$U$33</definedName>
    <definedName name="_xlchart.v1.9" hidden="1">'Old and New'!$U$9</definedName>
    <definedName name="K" localSheetId="0">'Old and Peru maybe'!$U$7:$W$7</definedName>
    <definedName name="K">'Old and New'!$U$7:$W$7</definedName>
    <definedName name="Linf" localSheetId="0">'Old and Peru maybe'!$U$6:$W$6</definedName>
    <definedName name="Linf">'Old and New'!$U$6:$W$6</definedName>
    <definedName name="Tzero" localSheetId="0">'Old and Peru maybe'!$U$8:$W$8</definedName>
    <definedName name="Tzero">'Old and New'!$U$8:$W$8</definedName>
  </definedNames>
  <calcPr calcId="179017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8" i="2" l="1"/>
  <c r="AE37" i="2"/>
  <c r="AE36" i="2"/>
  <c r="AE35" i="2"/>
  <c r="AE34" i="2"/>
  <c r="P16" i="2"/>
  <c r="O16" i="2"/>
  <c r="N16" i="2"/>
  <c r="M16" i="2"/>
  <c r="K16" i="2"/>
  <c r="J16" i="2"/>
  <c r="I16" i="2"/>
  <c r="H16" i="2"/>
  <c r="G16" i="2"/>
  <c r="F16" i="2"/>
  <c r="E16" i="2"/>
  <c r="C16" i="2"/>
  <c r="L16" i="2" s="1"/>
  <c r="P15" i="2"/>
  <c r="K15" i="2"/>
  <c r="J15" i="2"/>
  <c r="I15" i="2"/>
  <c r="H15" i="2"/>
  <c r="C15" i="2"/>
  <c r="O15" i="2" s="1"/>
  <c r="K14" i="2"/>
  <c r="C14" i="2"/>
  <c r="J14" i="2" s="1"/>
  <c r="P13" i="2"/>
  <c r="O13" i="2"/>
  <c r="N13" i="2"/>
  <c r="K13" i="2"/>
  <c r="J13" i="2"/>
  <c r="I13" i="2"/>
  <c r="H13" i="2"/>
  <c r="G13" i="2"/>
  <c r="F13" i="2"/>
  <c r="C13" i="2"/>
  <c r="M13" i="2" s="1"/>
  <c r="T12" i="2"/>
  <c r="W12" i="2" s="1"/>
  <c r="L12" i="2"/>
  <c r="K12" i="2"/>
  <c r="J12" i="2"/>
  <c r="I12" i="2"/>
  <c r="C12" i="2"/>
  <c r="P12" i="2" s="1"/>
  <c r="W11" i="2"/>
  <c r="V11" i="2"/>
  <c r="T11" i="2"/>
  <c r="U11" i="2" s="1"/>
  <c r="C11" i="2"/>
  <c r="L11" i="2" s="1"/>
  <c r="W10" i="2"/>
  <c r="V10" i="2"/>
  <c r="U10" i="2"/>
  <c r="P10" i="2"/>
  <c r="O10" i="2"/>
  <c r="N10" i="2"/>
  <c r="K10" i="2"/>
  <c r="J10" i="2"/>
  <c r="I10" i="2"/>
  <c r="H10" i="2"/>
  <c r="G10" i="2"/>
  <c r="F10" i="2"/>
  <c r="C10" i="2"/>
  <c r="M10" i="2" s="1"/>
  <c r="P9" i="2"/>
  <c r="O9" i="2"/>
  <c r="N9" i="2"/>
  <c r="M9" i="2"/>
  <c r="K9" i="2"/>
  <c r="J9" i="2"/>
  <c r="I9" i="2"/>
  <c r="H9" i="2"/>
  <c r="G9" i="2"/>
  <c r="F9" i="2"/>
  <c r="E9" i="2"/>
  <c r="C9" i="2"/>
  <c r="L9" i="2" s="1"/>
  <c r="L8" i="2"/>
  <c r="C8" i="2"/>
  <c r="C7" i="2"/>
  <c r="K6" i="2"/>
  <c r="J6" i="2"/>
  <c r="C6" i="2"/>
  <c r="I6" i="2" s="1"/>
  <c r="P5" i="2"/>
  <c r="O5" i="2"/>
  <c r="N5" i="2"/>
  <c r="M5" i="2"/>
  <c r="L5" i="2"/>
  <c r="K5" i="2"/>
  <c r="J5" i="2"/>
  <c r="I5" i="2"/>
  <c r="R5" i="2" s="1"/>
  <c r="H5" i="2"/>
  <c r="G5" i="2"/>
  <c r="F5" i="2"/>
  <c r="E5" i="2"/>
  <c r="V10" i="1"/>
  <c r="W10" i="1"/>
  <c r="W11" i="1"/>
  <c r="U10" i="1"/>
  <c r="T11" i="1"/>
  <c r="U11" i="1" s="1"/>
  <c r="AE5" i="2" l="1"/>
  <c r="R16" i="2"/>
  <c r="J7" i="2"/>
  <c r="P7" i="2"/>
  <c r="O7" i="2"/>
  <c r="G7" i="2"/>
  <c r="E7" i="2"/>
  <c r="I7" i="2"/>
  <c r="N7" i="2"/>
  <c r="F7" i="2"/>
  <c r="H7" i="2"/>
  <c r="M7" i="2"/>
  <c r="L7" i="2"/>
  <c r="AE9" i="2"/>
  <c r="R9" i="2"/>
  <c r="K11" i="2"/>
  <c r="J11" i="2"/>
  <c r="I11" i="2"/>
  <c r="H11" i="2"/>
  <c r="O11" i="2"/>
  <c r="P11" i="2"/>
  <c r="G11" i="2"/>
  <c r="F11" i="2"/>
  <c r="M11" i="2"/>
  <c r="E11" i="2"/>
  <c r="N11" i="2"/>
  <c r="K7" i="2"/>
  <c r="K8" i="2"/>
  <c r="I8" i="2"/>
  <c r="P8" i="2"/>
  <c r="E8" i="2"/>
  <c r="J8" i="2"/>
  <c r="O8" i="2"/>
  <c r="G8" i="2"/>
  <c r="H8" i="2"/>
  <c r="M8" i="2"/>
  <c r="F8" i="2"/>
  <c r="N8" i="2"/>
  <c r="L6" i="2"/>
  <c r="U12" i="2"/>
  <c r="M14" i="2"/>
  <c r="N6" i="2"/>
  <c r="T13" i="2"/>
  <c r="O14" i="2"/>
  <c r="L15" i="2"/>
  <c r="M6" i="2"/>
  <c r="V12" i="2"/>
  <c r="F6" i="2"/>
  <c r="H14" i="2"/>
  <c r="E15" i="2"/>
  <c r="M15" i="2"/>
  <c r="P6" i="2"/>
  <c r="G12" i="2"/>
  <c r="O12" i="2"/>
  <c r="L13" i="2"/>
  <c r="I14" i="2"/>
  <c r="F15" i="2"/>
  <c r="N15" i="2"/>
  <c r="L14" i="2"/>
  <c r="E14" i="2"/>
  <c r="E6" i="2"/>
  <c r="E21" i="2" s="1" a="1"/>
  <c r="F14" i="2"/>
  <c r="N14" i="2"/>
  <c r="E12" i="2"/>
  <c r="M12" i="2"/>
  <c r="G14" i="2"/>
  <c r="G6" i="2"/>
  <c r="O6" i="2"/>
  <c r="F12" i="2"/>
  <c r="N12" i="2"/>
  <c r="P14" i="2"/>
  <c r="H6" i="2"/>
  <c r="L10" i="2"/>
  <c r="E10" i="2"/>
  <c r="H12" i="2"/>
  <c r="E13" i="2"/>
  <c r="G15" i="2"/>
  <c r="V11" i="1"/>
  <c r="T12" i="1"/>
  <c r="C7" i="1"/>
  <c r="P7" i="1" s="1"/>
  <c r="C8" i="1"/>
  <c r="C9" i="1"/>
  <c r="P9" i="1" s="1"/>
  <c r="C10" i="1"/>
  <c r="P10" i="1" s="1"/>
  <c r="C11" i="1"/>
  <c r="P11" i="1" s="1"/>
  <c r="C12" i="1"/>
  <c r="P12" i="1" s="1"/>
  <c r="C13" i="1"/>
  <c r="P13" i="1" s="1"/>
  <c r="C14" i="1"/>
  <c r="P14" i="1" s="1"/>
  <c r="C15" i="1"/>
  <c r="N15" i="1" s="1"/>
  <c r="C16" i="1"/>
  <c r="K16" i="1" s="1"/>
  <c r="C6" i="1"/>
  <c r="P8" i="1"/>
  <c r="P5" i="1"/>
  <c r="I16" i="1"/>
  <c r="H16" i="1"/>
  <c r="O5" i="1"/>
  <c r="N5" i="1"/>
  <c r="M5" i="1"/>
  <c r="L5" i="1"/>
  <c r="K5" i="1"/>
  <c r="J5" i="1"/>
  <c r="I5" i="1"/>
  <c r="H5" i="1"/>
  <c r="G5" i="1"/>
  <c r="F5" i="1"/>
  <c r="E5" i="1"/>
  <c r="AE38" i="1"/>
  <c r="AE37" i="1"/>
  <c r="AE36" i="1"/>
  <c r="AE35" i="1"/>
  <c r="AE34" i="1"/>
  <c r="O15" i="1" l="1"/>
  <c r="E15" i="1"/>
  <c r="G15" i="1"/>
  <c r="P15" i="1"/>
  <c r="L15" i="1"/>
  <c r="M15" i="1"/>
  <c r="M21" i="2"/>
  <c r="E21" i="2"/>
  <c r="H21" i="2"/>
  <c r="O21" i="2"/>
  <c r="G21" i="2"/>
  <c r="L21" i="2"/>
  <c r="I21" i="2"/>
  <c r="K21" i="2"/>
  <c r="J21" i="2"/>
  <c r="P21" i="2"/>
  <c r="N21" i="2"/>
  <c r="F21" i="2"/>
  <c r="R10" i="2"/>
  <c r="AE10" i="2" s="1"/>
  <c r="R13" i="2"/>
  <c r="AE13" i="2"/>
  <c r="R14" i="2"/>
  <c r="T14" i="2"/>
  <c r="W13" i="2"/>
  <c r="U13" i="2"/>
  <c r="V13" i="2"/>
  <c r="R6" i="2"/>
  <c r="AE6" i="2" s="1"/>
  <c r="R15" i="2"/>
  <c r="R11" i="2"/>
  <c r="AE11" i="2"/>
  <c r="R12" i="2"/>
  <c r="AE12" i="2" s="1"/>
  <c r="R8" i="2"/>
  <c r="AE8" i="2"/>
  <c r="R7" i="2"/>
  <c r="AE7" i="2" s="1"/>
  <c r="H15" i="1"/>
  <c r="L16" i="1"/>
  <c r="J16" i="1"/>
  <c r="I15" i="1"/>
  <c r="J15" i="1"/>
  <c r="K15" i="1"/>
  <c r="P16" i="1"/>
  <c r="N16" i="1"/>
  <c r="M16" i="1"/>
  <c r="F15" i="1"/>
  <c r="O16" i="1"/>
  <c r="E16" i="1"/>
  <c r="F16" i="1"/>
  <c r="G16" i="1"/>
  <c r="T13" i="1"/>
  <c r="V12" i="1"/>
  <c r="U12" i="1"/>
  <c r="W12" i="1"/>
  <c r="R5" i="1"/>
  <c r="AE5" i="1" s="1"/>
  <c r="R15" i="1" l="1"/>
  <c r="W14" i="2"/>
  <c r="V14" i="2"/>
  <c r="T15" i="2"/>
  <c r="U14" i="2"/>
  <c r="AE14" i="2"/>
  <c r="R16" i="1"/>
  <c r="U13" i="1"/>
  <c r="T14" i="1"/>
  <c r="V13" i="1"/>
  <c r="W13" i="1"/>
  <c r="N7" i="1"/>
  <c r="F7" i="1"/>
  <c r="O7" i="1"/>
  <c r="M7" i="1"/>
  <c r="E7" i="1"/>
  <c r="K7" i="1"/>
  <c r="J7" i="1"/>
  <c r="L7" i="1"/>
  <c r="I7" i="1"/>
  <c r="H7" i="1"/>
  <c r="G7" i="1"/>
  <c r="W15" i="2" l="1"/>
  <c r="U15" i="2"/>
  <c r="T16" i="2"/>
  <c r="V15" i="2"/>
  <c r="AE15" i="2"/>
  <c r="V14" i="1"/>
  <c r="U14" i="1"/>
  <c r="T15" i="1"/>
  <c r="W14" i="1"/>
  <c r="R7" i="1"/>
  <c r="AE7" i="1" s="1"/>
  <c r="K8" i="1"/>
  <c r="O8" i="1"/>
  <c r="J8" i="1"/>
  <c r="F8" i="1"/>
  <c r="I8" i="1"/>
  <c r="G8" i="1"/>
  <c r="E8" i="1"/>
  <c r="H8" i="1"/>
  <c r="M8" i="1"/>
  <c r="N8" i="1"/>
  <c r="L8" i="1"/>
  <c r="V16" i="2" l="1"/>
  <c r="U16" i="2"/>
  <c r="T17" i="2"/>
  <c r="W16" i="2"/>
  <c r="AE16" i="2"/>
  <c r="R8" i="1"/>
  <c r="V15" i="1"/>
  <c r="W15" i="1"/>
  <c r="U15" i="1"/>
  <c r="T16" i="1"/>
  <c r="H9" i="1"/>
  <c r="L9" i="1"/>
  <c r="K9" i="1"/>
  <c r="O9" i="1"/>
  <c r="G9" i="1"/>
  <c r="M9" i="1"/>
  <c r="E9" i="1"/>
  <c r="J9" i="1"/>
  <c r="I9" i="1"/>
  <c r="N9" i="1"/>
  <c r="F9" i="1"/>
  <c r="AE8" i="1"/>
  <c r="T18" i="2" l="1"/>
  <c r="W17" i="2"/>
  <c r="V17" i="2"/>
  <c r="U17" i="2"/>
  <c r="AE17" i="2" s="1"/>
  <c r="AE15" i="1"/>
  <c r="W16" i="1"/>
  <c r="V16" i="1"/>
  <c r="AE16" i="1" s="1"/>
  <c r="U16" i="1"/>
  <c r="T17" i="1"/>
  <c r="R9" i="1"/>
  <c r="AE9" i="1" s="1"/>
  <c r="M10" i="1"/>
  <c r="E10" i="1"/>
  <c r="F10" i="1"/>
  <c r="L10" i="1"/>
  <c r="J10" i="1"/>
  <c r="I10" i="1"/>
  <c r="G10" i="1"/>
  <c r="K10" i="1"/>
  <c r="H10" i="1"/>
  <c r="N10" i="1"/>
  <c r="O10" i="1"/>
  <c r="T19" i="2" l="1"/>
  <c r="W18" i="2"/>
  <c r="V18" i="2"/>
  <c r="U18" i="2"/>
  <c r="AE18" i="2" s="1"/>
  <c r="V17" i="1"/>
  <c r="U17" i="1"/>
  <c r="AE17" i="1" s="1"/>
  <c r="T18" i="1"/>
  <c r="W17" i="1"/>
  <c r="R10" i="1"/>
  <c r="AE10" i="1" s="1"/>
  <c r="J11" i="1"/>
  <c r="E11" i="1"/>
  <c r="I11" i="1"/>
  <c r="O11" i="1"/>
  <c r="N11" i="1"/>
  <c r="L11" i="1"/>
  <c r="H11" i="1"/>
  <c r="G11" i="1"/>
  <c r="F11" i="1"/>
  <c r="M11" i="1"/>
  <c r="K11" i="1"/>
  <c r="W19" i="2" l="1"/>
  <c r="T20" i="2"/>
  <c r="V19" i="2"/>
  <c r="U19" i="2"/>
  <c r="AE19" i="2"/>
  <c r="V18" i="1"/>
  <c r="AE18" i="1" s="1"/>
  <c r="W18" i="1"/>
  <c r="T19" i="1"/>
  <c r="U18" i="1"/>
  <c r="R11" i="1"/>
  <c r="AE11" i="1" s="1"/>
  <c r="O12" i="1"/>
  <c r="G12" i="1"/>
  <c r="H12" i="1"/>
  <c r="N12" i="1"/>
  <c r="F12" i="1"/>
  <c r="M12" i="1"/>
  <c r="E12" i="1"/>
  <c r="K12" i="1"/>
  <c r="I12" i="1"/>
  <c r="L12" i="1"/>
  <c r="J12" i="1"/>
  <c r="U20" i="2" l="1"/>
  <c r="W20" i="2"/>
  <c r="T21" i="2"/>
  <c r="V20" i="2"/>
  <c r="AE20" i="2" s="1"/>
  <c r="T20" i="1"/>
  <c r="U19" i="1"/>
  <c r="W19" i="1"/>
  <c r="V19" i="1"/>
  <c r="R12" i="1"/>
  <c r="AE12" i="1"/>
  <c r="L13" i="1"/>
  <c r="K13" i="1"/>
  <c r="E13" i="1"/>
  <c r="J13" i="1"/>
  <c r="I13" i="1"/>
  <c r="H13" i="1"/>
  <c r="O13" i="1"/>
  <c r="F13" i="1"/>
  <c r="G13" i="1"/>
  <c r="N13" i="1"/>
  <c r="M13" i="1"/>
  <c r="W21" i="2" l="1"/>
  <c r="V21" i="2"/>
  <c r="U21" i="2"/>
  <c r="T22" i="2"/>
  <c r="AE21" i="2"/>
  <c r="AE19" i="1"/>
  <c r="T21" i="1"/>
  <c r="U20" i="1"/>
  <c r="AE20" i="1" s="1"/>
  <c r="V20" i="1"/>
  <c r="W20" i="1"/>
  <c r="R13" i="1"/>
  <c r="AE13" i="1" s="1"/>
  <c r="I14" i="1"/>
  <c r="H14" i="1"/>
  <c r="N14" i="1"/>
  <c r="K14" i="1"/>
  <c r="O14" i="1"/>
  <c r="G14" i="1"/>
  <c r="M14" i="1"/>
  <c r="L14" i="1"/>
  <c r="F14" i="1"/>
  <c r="E14" i="1"/>
  <c r="J14" i="1"/>
  <c r="V22" i="2" l="1"/>
  <c r="T23" i="2"/>
  <c r="U22" i="2"/>
  <c r="W22" i="2"/>
  <c r="AE22" i="2" s="1"/>
  <c r="T22" i="1"/>
  <c r="U21" i="1"/>
  <c r="V21" i="1"/>
  <c r="W21" i="1"/>
  <c r="R14" i="1"/>
  <c r="AE14" i="1"/>
  <c r="V23" i="2" l="1"/>
  <c r="T24" i="2"/>
  <c r="U23" i="2"/>
  <c r="W23" i="2"/>
  <c r="AE23" i="2" s="1"/>
  <c r="T23" i="1"/>
  <c r="V22" i="1"/>
  <c r="W22" i="1"/>
  <c r="U22" i="1"/>
  <c r="H6" i="1"/>
  <c r="F6" i="1"/>
  <c r="K6" i="1"/>
  <c r="M6" i="1"/>
  <c r="J6" i="1"/>
  <c r="G6" i="1"/>
  <c r="P6" i="1"/>
  <c r="I6" i="1"/>
  <c r="O6" i="1"/>
  <c r="N6" i="1"/>
  <c r="L6" i="1"/>
  <c r="E6" i="1"/>
  <c r="T25" i="2" l="1"/>
  <c r="W24" i="2"/>
  <c r="V24" i="2"/>
  <c r="U24" i="2"/>
  <c r="AE24" i="2" s="1"/>
  <c r="AE22" i="1"/>
  <c r="T24" i="1"/>
  <c r="W23" i="1"/>
  <c r="AE23" i="1" s="1"/>
  <c r="U23" i="1"/>
  <c r="V23" i="1"/>
  <c r="E21" i="1" a="1"/>
  <c r="P21" i="1" s="1"/>
  <c r="R6" i="1"/>
  <c r="AE6" i="1" s="1"/>
  <c r="W25" i="2" l="1"/>
  <c r="V25" i="2"/>
  <c r="T26" i="2"/>
  <c r="U25" i="2"/>
  <c r="AE25" i="2" s="1"/>
  <c r="T25" i="1"/>
  <c r="V24" i="1"/>
  <c r="U24" i="1"/>
  <c r="AE24" i="1" s="1"/>
  <c r="W24" i="1"/>
  <c r="H21" i="1"/>
  <c r="N21" i="1"/>
  <c r="M21" i="1"/>
  <c r="K21" i="1"/>
  <c r="F21" i="1"/>
  <c r="O21" i="1"/>
  <c r="G21" i="1"/>
  <c r="I21" i="1"/>
  <c r="L21" i="1"/>
  <c r="E21" i="1"/>
  <c r="J21" i="1"/>
  <c r="W26" i="2" l="1"/>
  <c r="V26" i="2"/>
  <c r="U26" i="2"/>
  <c r="T27" i="2"/>
  <c r="AE26" i="2"/>
  <c r="T26" i="1"/>
  <c r="V25" i="1"/>
  <c r="U25" i="1"/>
  <c r="AE25" i="1" s="1"/>
  <c r="W25" i="1"/>
  <c r="AE21" i="1"/>
  <c r="T28" i="2" l="1"/>
  <c r="W27" i="2"/>
  <c r="U27" i="2"/>
  <c r="AE27" i="2" s="1"/>
  <c r="V27" i="2"/>
  <c r="T27" i="1"/>
  <c r="V26" i="1"/>
  <c r="U26" i="1"/>
  <c r="AE26" i="1" s="1"/>
  <c r="W26" i="1"/>
  <c r="U28" i="2" l="1"/>
  <c r="W28" i="2"/>
  <c r="T29" i="2"/>
  <c r="V28" i="2"/>
  <c r="AE28" i="2" s="1"/>
  <c r="T28" i="1"/>
  <c r="U27" i="1"/>
  <c r="AE27" i="1" s="1"/>
  <c r="V27" i="1"/>
  <c r="W27" i="1"/>
  <c r="T30" i="2" l="1"/>
  <c r="W29" i="2"/>
  <c r="V29" i="2"/>
  <c r="U29" i="2"/>
  <c r="T29" i="1"/>
  <c r="W28" i="1"/>
  <c r="U28" i="1"/>
  <c r="AE28" i="1" s="1"/>
  <c r="V28" i="1"/>
  <c r="W30" i="2" l="1"/>
  <c r="T31" i="2"/>
  <c r="V30" i="2"/>
  <c r="U30" i="2"/>
  <c r="AE30" i="2" s="1"/>
  <c r="T30" i="1"/>
  <c r="U29" i="1"/>
  <c r="V29" i="1"/>
  <c r="W29" i="1"/>
  <c r="W31" i="2" l="1"/>
  <c r="V31" i="2"/>
  <c r="U31" i="2"/>
  <c r="T32" i="2"/>
  <c r="AE31" i="2"/>
  <c r="T31" i="1"/>
  <c r="V30" i="1"/>
  <c r="AE30" i="1" s="1"/>
  <c r="W30" i="1"/>
  <c r="U30" i="1"/>
  <c r="U32" i="2" l="1"/>
  <c r="T33" i="2"/>
  <c r="W32" i="2"/>
  <c r="V32" i="2"/>
  <c r="AE32" i="2" s="1"/>
  <c r="T32" i="1"/>
  <c r="V31" i="1"/>
  <c r="AE31" i="1" s="1"/>
  <c r="W31" i="1"/>
  <c r="U31" i="1"/>
  <c r="U33" i="2" l="1"/>
  <c r="W33" i="2"/>
  <c r="V33" i="2"/>
  <c r="AE33" i="2" s="1"/>
  <c r="T33" i="1"/>
  <c r="V32" i="1"/>
  <c r="W32" i="1"/>
  <c r="U32" i="1"/>
  <c r="AE32" i="1" s="1"/>
  <c r="V33" i="1" l="1"/>
  <c r="U33" i="1"/>
  <c r="W33" i="1"/>
  <c r="AE33" i="1"/>
</calcChain>
</file>

<file path=xl/sharedStrings.xml><?xml version="1.0" encoding="utf-8"?>
<sst xmlns="http://schemas.openxmlformats.org/spreadsheetml/2006/main" count="27" uniqueCount="12">
  <si>
    <t>CV</t>
  </si>
  <si>
    <t>Aging Error Matrix</t>
  </si>
  <si>
    <t>Observed Age</t>
  </si>
  <si>
    <t>True Age</t>
  </si>
  <si>
    <t>Std</t>
  </si>
  <si>
    <t>Mean Age</t>
  </si>
  <si>
    <t>Peru</t>
  </si>
  <si>
    <t>Linf</t>
  </si>
  <si>
    <t>K</t>
  </si>
  <si>
    <t>Tzero</t>
  </si>
  <si>
    <t>New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</si>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</sst>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"/>
    <numFmt numFmtId="166" formatCode="0.0000"/>
  </numFmts>
  <fonts count="6" x14ac:knownFonts="1">
    <font>
      <sz val="12"/>
      <color theme="1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22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1" xfId="0" applyNumberFormat="1" applyFont="1" applyBorder="1"/>
    <xf numFmtId="9" fontId="1" fillId="0" borderId="0" xfId="0" applyNumberFormat="1" applyFont="1"/>
    <xf numFmtId="2" fontId="1" fillId="0" borderId="0" xfId="0" applyNumberFormat="1" applyFont="1"/>
    <xf numFmtId="0" fontId="1" fillId="0" borderId="2" xfId="0" applyFont="1" applyBorder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4" fontId="2" fillId="0" borderId="1" xfId="0" applyNumberFormat="1" applyFont="1" applyBorder="1"/>
    <xf numFmtId="2" fontId="1" fillId="0" borderId="2" xfId="0" applyNumberFormat="1" applyFont="1" applyBorder="1"/>
    <xf numFmtId="164" fontId="3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 vertical="center" textRotation="90"/>
    </xf>
    <xf numFmtId="0" fontId="1" fillId="0" borderId="0" xfId="0" applyNumberFormat="1" applyFont="1"/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594381293780188E-2"/>
          <c:y val="2.5333147872876299E-2"/>
          <c:w val="0.87335572555864949"/>
          <c:h val="0.88435402561170173"/>
        </c:manualLayout>
      </c:layout>
      <c:barChart>
        <c:barDir val="col"/>
        <c:grouping val="clustered"/>
        <c:varyColors val="0"/>
        <c:ser>
          <c:idx val="0"/>
          <c:order val="0"/>
          <c:tx>
            <c:v>Converted observed 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'Old and Peru maybe'!$E$21:$P$21</c:f>
              <c:numCache>
                <c:formatCode>0.000</c:formatCode>
                <c:ptCount val="12"/>
                <c:pt idx="0">
                  <c:v>0.99428491233494554</c:v>
                </c:pt>
                <c:pt idx="1">
                  <c:v>7.228296734182133E-3</c:v>
                </c:pt>
                <c:pt idx="2">
                  <c:v>2.1843113546606063E-2</c:v>
                </c:pt>
                <c:pt idx="3">
                  <c:v>0.13223325676015374</c:v>
                </c:pt>
                <c:pt idx="4">
                  <c:v>0.32981021793101284</c:v>
                </c:pt>
                <c:pt idx="5">
                  <c:v>0.34087341786140307</c:v>
                </c:pt>
                <c:pt idx="6">
                  <c:v>0.14602421124007614</c:v>
                </c:pt>
                <c:pt idx="7">
                  <c:v>2.5787553334470692E-2</c:v>
                </c:pt>
                <c:pt idx="8">
                  <c:v>1.8601490996168479E-3</c:v>
                </c:pt>
                <c:pt idx="9">
                  <c:v>5.4235292925142176E-5</c:v>
                </c:pt>
                <c:pt idx="10">
                  <c:v>6.3292692686900409E-7</c:v>
                </c:pt>
                <c:pt idx="11">
                  <c:v>2.9376808763359463E-9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D-7849-9C2A-3E9D000673AE}"/>
            </c:ext>
          </c:extLst>
        </c:ser>
        <c:ser>
          <c:idx val="1"/>
          <c:order val="1"/>
          <c:tx>
            <c:v>Biased age as input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'Old and Peru maybe'!$E$19:$P$19</c:f>
              <c:numCache>
                <c:formatCode>0.000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3D-7849-9C2A-3E9D00067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424800"/>
        <c:axId val="500968560"/>
      </c:barChart>
      <c:catAx>
        <c:axId val="54542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68560"/>
        <c:crosses val="autoZero"/>
        <c:auto val="1"/>
        <c:lblAlgn val="ctr"/>
        <c:lblOffset val="100"/>
        <c:noMultiLvlLbl val="0"/>
      </c:catAx>
      <c:valAx>
        <c:axId val="5009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2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'Old and Peru maybe'!$U$9</c:f>
              <c:strCache>
                <c:ptCount val="1"/>
                <c:pt idx="0">
                  <c:v>Old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'Old and Peru maybe'!$T$10:$T$33</c:f>
              <c:numCache>
                <c:formatCode>General</c:formatCode>
                <c:ptCount val="2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</c:numCache>
            </c:numRef>
          </c:xVal>
          <c:yVal>
            <c:numRef>
              <c:f>'Old and Peru maybe'!$U$10:$U$33</c:f>
              <c:numCache>
                <c:formatCode>General</c:formatCode>
                <c:ptCount val="24"/>
                <c:pt idx="0">
                  <c:v>12.148380722865923</c:v>
                </c:pt>
                <c:pt idx="1">
                  <c:v>14.346759829944656</c:v>
                </c:pt>
                <c:pt idx="2">
                  <c:v>16.465285311886394</c:v>
                </c:pt>
                <c:pt idx="3">
                  <c:v>18.506857760962497</c:v>
                </c:pt>
                <c:pt idx="4">
                  <c:v>20.474272408723262</c:v>
                </c:pt>
                <c:pt idx="5">
                  <c:v>22.37022295310647</c:v>
                </c:pt>
                <c:pt idx="6">
                  <c:v>24.197305246530625</c:v>
                </c:pt>
                <c:pt idx="7">
                  <c:v>25.95802085002229</c:v>
                </c:pt>
                <c:pt idx="8">
                  <c:v>27.654780458243916</c:v>
                </c:pt>
                <c:pt idx="9">
                  <c:v>29.289907200111308</c:v>
                </c:pt>
                <c:pt idx="10">
                  <c:v>30.86563981951997</c:v>
                </c:pt>
                <c:pt idx="11">
                  <c:v>32.384135740535143</c:v>
                </c:pt>
                <c:pt idx="12">
                  <c:v>33.847474021242348</c:v>
                </c:pt>
                <c:pt idx="13">
                  <c:v>35.2576582003026</c:v>
                </c:pt>
                <c:pt idx="14">
                  <c:v>36.616619040109754</c:v>
                </c:pt>
                <c:pt idx="15">
                  <c:v>37.926217170305819</c:v>
                </c:pt>
                <c:pt idx="16">
                  <c:v>39.188245635273518</c:v>
                </c:pt>
                <c:pt idx="17">
                  <c:v>40.404432349094087</c:v>
                </c:pt>
                <c:pt idx="18">
                  <c:v>41.576442461331553</c:v>
                </c:pt>
                <c:pt idx="19">
                  <c:v>42.705880636882554</c:v>
                </c:pt>
                <c:pt idx="20">
                  <c:v>43.794293253013244</c:v>
                </c:pt>
                <c:pt idx="21">
                  <c:v>44.843170516591215</c:v>
                </c:pt>
                <c:pt idx="22">
                  <c:v>45.853948504411527</c:v>
                </c:pt>
                <c:pt idx="23">
                  <c:v>46.828011129410093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E3-0F4B-A61B-65F3FBD11B8B}"/>
            </c:ext>
          </c:extLst>
        </c:ser>
        <c:ser>
          <c:idx val="1"/>
          <c:order val="1"/>
          <c:tx>
            <c:strRef>
              <c:f>'Old and Peru maybe'!$V$9</c:f>
              <c:strCache>
                <c:ptCount val="1"/>
                <c:pt idx="0">
                  <c:v>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'Old and Peru maybe'!$T$10:$T$33</c:f>
              <c:numCache>
                <c:formatCode>General</c:formatCode>
                <c:ptCount val="2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</c:numCache>
            </c:numRef>
          </c:xVal>
          <c:yVal>
            <c:numRef>
              <c:f>'Old and Peru maybe'!$V$10:$V$33</c:f>
              <c:numCache>
                <c:formatCode>General</c:formatCode>
                <c:ptCount val="24"/>
                <c:pt idx="0">
                  <c:v>18.584328612541611</c:v>
                </c:pt>
                <c:pt idx="1">
                  <c:v>20.810456038931115</c:v>
                </c:pt>
                <c:pt idx="2">
                  <c:v>22.936501144316711</c:v>
                </c:pt>
                <c:pt idx="3">
                  <c:v>24.966963433470138</c:v>
                </c:pt>
                <c:pt idx="4">
                  <c:v>26.906140122257476</c:v>
                </c:pt>
                <c:pt idx="5">
                  <c:v>28.758135232151432</c:v>
                </c:pt>
                <c:pt idx="6">
                  <c:v>30.52686827587215</c:v>
                </c:pt>
                <c:pt idx="7">
                  <c:v>32.216082552538751</c:v>
                </c:pt>
                <c:pt idx="8">
                  <c:v>33.829353069886992</c:v>
                </c:pt>
                <c:pt idx="9">
                  <c:v>35.370094110319684</c:v>
                </c:pt>
                <c:pt idx="10">
                  <c:v>36.841566456802276</c:v>
                </c:pt>
                <c:pt idx="11">
                  <c:v>38.246884293896393</c:v>
                </c:pt>
                <c:pt idx="12">
                  <c:v>39.589021798536372</c:v>
                </c:pt>
                <c:pt idx="13">
                  <c:v>40.870819434497484</c:v>
                </c:pt>
                <c:pt idx="14">
                  <c:v>42.094989963877204</c:v>
                </c:pt>
                <c:pt idx="15">
                  <c:v>43.264124188312053</c:v>
                </c:pt>
                <c:pt idx="16">
                  <c:v>44.38069643208064</c:v>
                </c:pt>
                <c:pt idx="17">
                  <c:v>45.447069778697077</c:v>
                </c:pt>
                <c:pt idx="18">
                  <c:v>46.465501072077515</c:v>
                </c:pt>
                <c:pt idx="19">
                  <c:v>47.438145692863998</c:v>
                </c:pt>
                <c:pt idx="20">
                  <c:v>48.367062120014161</c:v>
                </c:pt>
                <c:pt idx="21">
                  <c:v>49.254216287310847</c:v>
                </c:pt>
                <c:pt idx="22">
                  <c:v>50.101485744011548</c:v>
                </c:pt>
                <c:pt idx="23">
                  <c:v>50.910663628443224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E3-0F4B-A61B-65F3FBD11B8B}"/>
            </c:ext>
          </c:extLst>
        </c:ser>
        <c:ser>
          <c:idx val="2"/>
          <c:order val="2"/>
          <c:tx>
            <c:strRef>
              <c:f>'Old and Peru maybe'!$W$9</c:f>
              <c:strCache>
                <c:ptCount val="1"/>
                <c:pt idx="0">
                  <c:v>Peru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'Old and Peru maybe'!$T$10:$T$33</c:f>
              <c:numCache>
                <c:formatCode>General</c:formatCode>
                <c:ptCount val="2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</c:numCache>
            </c:numRef>
          </c:xVal>
          <c:yVal>
            <c:numRef>
              <c:f>'Old and Peru maybe'!$W$10:$W$33</c:f>
              <c:numCache>
                <c:formatCode>General</c:formatCode>
                <c:ptCount val="24"/>
                <c:pt idx="0">
                  <c:v>6.3044595962958683</c:v>
                </c:pt>
                <c:pt idx="1">
                  <c:v>12.12420930477067</c:v>
                </c:pt>
                <c:pt idx="2">
                  <c:v>17.496515392542616</c:v>
                </c:pt>
                <c:pt idx="3">
                  <c:v>22.455778959957343</c:v>
                </c:pt>
                <c:pt idx="4">
                  <c:v>27.033756225077575</c:v>
                </c:pt>
                <c:pt idx="5">
                  <c:v>31.259761871896451</c:v>
                </c:pt>
                <c:pt idx="6">
                  <c:v>35.160856764397181</c:v>
                </c:pt>
                <c:pt idx="7">
                  <c:v>38.762021228470019</c:v>
                </c:pt>
                <c:pt idx="8">
                  <c:v>42.086315011282316</c:v>
                </c:pt>
                <c:pt idx="9">
                  <c:v>45.155024942387833</c:v>
                </c:pt>
                <c:pt idx="10">
                  <c:v>47.987801242110329</c:v>
                </c:pt>
                <c:pt idx="11">
                  <c:v>50.602783350040809</c:v>
                </c:pt>
                <c:pt idx="12">
                  <c:v>53.016716079380025</c:v>
                </c:pt>
                <c:pt idx="13">
                  <c:v>55.245056840910763</c:v>
                </c:pt>
                <c:pt idx="14">
                  <c:v>57.302074623199417</c:v>
                </c:pt>
                <c:pt idx="15">
                  <c:v>59.20094136283808</c:v>
                </c:pt>
                <c:pt idx="16">
                  <c:v>60.953816289808422</c:v>
                </c:pt>
                <c:pt idx="17">
                  <c:v>62.571923788066016</c:v>
                </c:pt>
                <c:pt idx="18">
                  <c:v>64.065625269918385</c:v>
                </c:pt>
                <c:pt idx="19">
                  <c:v>65.444485524438264</c:v>
                </c:pt>
                <c:pt idx="20">
                  <c:v>66.717333964768386</c:v>
                </c:pt>
                <c:pt idx="21">
                  <c:v>67.892321166509859</c:v>
                </c:pt>
                <c:pt idx="22">
                  <c:v>68.976971059232511</c:v>
                </c:pt>
                <c:pt idx="23">
                  <c:v>69.978229105311286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E3-0F4B-A61B-65F3FBD11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292400"/>
        <c:axId val="1824294096"/>
      </c:scatterChart>
      <c:valAx>
        <c:axId val="182429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94096"/>
        <c:crosses val="autoZero"/>
        <c:crossBetween val="midCat"/>
      </c:valAx>
      <c:valAx>
        <c:axId val="182429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92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594381293780188E-2"/>
          <c:y val="2.5333147872876299E-2"/>
          <c:w val="0.87335572555864949"/>
          <c:h val="0.88435402561170173"/>
        </c:manualLayout>
      </c:layout>
      <c:barChart>
        <c:barDir val="col"/>
        <c:grouping val="clustered"/>
        <c:varyColors val="0"/>
        <c:ser>
          <c:idx val="0"/>
          <c:order val="0"/>
          <c:tx>
            <c:v>Converted observed 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'Old and New'!$E$21:$P$21</c:f>
              <c:numCache>
                <c:formatCode>0.000</c:formatCode>
                <c:ptCount val="12"/>
                <c:pt idx="0">
                  <c:v>0.99424816915726699</c:v>
                </c:pt>
                <c:pt idx="1">
                  <c:v>5.8092286530389012E-3</c:v>
                </c:pt>
                <c:pt idx="2">
                  <c:v>5.4527397954610242E-4</c:v>
                </c:pt>
                <c:pt idx="3">
                  <c:v>3.8165170780516634E-3</c:v>
                </c:pt>
                <c:pt idx="4">
                  <c:v>1.8391812225987403E-2</c:v>
                </c:pt>
                <c:pt idx="5">
                  <c:v>6.1058628086322411E-2</c:v>
                </c:pt>
                <c:pt idx="6">
                  <c:v>0.13971727716848148</c:v>
                </c:pt>
                <c:pt idx="7">
                  <c:v>0.22044058799155125</c:v>
                </c:pt>
                <c:pt idx="8">
                  <c:v>0.23986217854352448</c:v>
                </c:pt>
                <c:pt idx="9">
                  <c:v>0.18000218154021641</c:v>
                </c:pt>
                <c:pt idx="10">
                  <c:v>9.3149825676926867E-2</c:v>
                </c:pt>
                <c:pt idx="11">
                  <c:v>4.295831989908605E-2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9-824A-A10E-FEB3111FBEE4}"/>
            </c:ext>
          </c:extLst>
        </c:ser>
        <c:ser>
          <c:idx val="1"/>
          <c:order val="1"/>
          <c:tx>
            <c:v>Biased age as input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'Old and New'!$E$19:$P$19</c:f>
              <c:numCache>
                <c:formatCode>0.000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9-824A-A10E-FEB3111FB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424800"/>
        <c:axId val="500968560"/>
      </c:barChart>
      <c:catAx>
        <c:axId val="54542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68560"/>
        <c:crosses val="autoZero"/>
        <c:auto val="1"/>
        <c:lblAlgn val="ctr"/>
        <c:lblOffset val="100"/>
        <c:noMultiLvlLbl val="0"/>
      </c:catAx>
      <c:valAx>
        <c:axId val="5009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2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'Old and New'!$U$9</c:f>
              <c:strCache>
                <c:ptCount val="1"/>
                <c:pt idx="0">
                  <c:v>Old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'Old and New'!$T$10:$T$33</c:f>
              <c:numCache>
                <c:formatCode>General</c:formatCode>
                <c:ptCount val="2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</c:numCache>
            </c:numRef>
          </c:xVal>
          <c:yVal>
            <c:numRef>
              <c:f>'Old and New'!$U$10:$U$33</c:f>
              <c:numCache>
                <c:formatCode>General</c:formatCode>
                <c:ptCount val="24"/>
                <c:pt idx="0">
                  <c:v>12.148380722865923</c:v>
                </c:pt>
                <c:pt idx="1">
                  <c:v>14.346759829944656</c:v>
                </c:pt>
                <c:pt idx="2">
                  <c:v>16.465285311886394</c:v>
                </c:pt>
                <c:pt idx="3">
                  <c:v>18.506857760962497</c:v>
                </c:pt>
                <c:pt idx="4">
                  <c:v>20.474272408723262</c:v>
                </c:pt>
                <c:pt idx="5">
                  <c:v>22.37022295310647</c:v>
                </c:pt>
                <c:pt idx="6">
                  <c:v>24.197305246530625</c:v>
                </c:pt>
                <c:pt idx="7">
                  <c:v>25.95802085002229</c:v>
                </c:pt>
                <c:pt idx="8">
                  <c:v>27.654780458243916</c:v>
                </c:pt>
                <c:pt idx="9">
                  <c:v>29.289907200111308</c:v>
                </c:pt>
                <c:pt idx="10">
                  <c:v>30.86563981951997</c:v>
                </c:pt>
                <c:pt idx="11">
                  <c:v>32.384135740535143</c:v>
                </c:pt>
                <c:pt idx="12">
                  <c:v>33.847474021242348</c:v>
                </c:pt>
                <c:pt idx="13">
                  <c:v>35.2576582003026</c:v>
                </c:pt>
                <c:pt idx="14">
                  <c:v>36.616619040109754</c:v>
                </c:pt>
                <c:pt idx="15">
                  <c:v>37.926217170305819</c:v>
                </c:pt>
                <c:pt idx="16">
                  <c:v>39.188245635273518</c:v>
                </c:pt>
                <c:pt idx="17">
                  <c:v>40.404432349094087</c:v>
                </c:pt>
                <c:pt idx="18">
                  <c:v>41.576442461331553</c:v>
                </c:pt>
                <c:pt idx="19">
                  <c:v>42.705880636882554</c:v>
                </c:pt>
                <c:pt idx="20">
                  <c:v>43.794293253013244</c:v>
                </c:pt>
                <c:pt idx="21">
                  <c:v>44.843170516591215</c:v>
                </c:pt>
                <c:pt idx="22">
                  <c:v>45.853948504411527</c:v>
                </c:pt>
                <c:pt idx="23">
                  <c:v>46.828011129410093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6D-B44C-B1AF-739B798CAB7A}"/>
            </c:ext>
          </c:extLst>
        </c:ser>
        <c:ser>
          <c:idx val="1"/>
          <c:order val="1"/>
          <c:tx>
            <c:strRef>
              <c:f>'Old and New'!$V$9</c:f>
              <c:strCache>
                <c:ptCount val="1"/>
                <c:pt idx="0">
                  <c:v>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'Old and New'!$T$10:$T$33</c:f>
              <c:numCache>
                <c:formatCode>General</c:formatCode>
                <c:ptCount val="2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</c:numCache>
            </c:numRef>
          </c:xVal>
          <c:yVal>
            <c:numRef>
              <c:f>'Old and New'!$V$10:$V$33</c:f>
              <c:numCache>
                <c:formatCode>General</c:formatCode>
                <c:ptCount val="24"/>
                <c:pt idx="0">
                  <c:v>18.584328612541611</c:v>
                </c:pt>
                <c:pt idx="1">
                  <c:v>20.810456038931115</c:v>
                </c:pt>
                <c:pt idx="2">
                  <c:v>22.936501144316711</c:v>
                </c:pt>
                <c:pt idx="3">
                  <c:v>24.966963433470138</c:v>
                </c:pt>
                <c:pt idx="4">
                  <c:v>26.906140122257476</c:v>
                </c:pt>
                <c:pt idx="5">
                  <c:v>28.758135232151432</c:v>
                </c:pt>
                <c:pt idx="6">
                  <c:v>30.52686827587215</c:v>
                </c:pt>
                <c:pt idx="7">
                  <c:v>32.216082552538751</c:v>
                </c:pt>
                <c:pt idx="8">
                  <c:v>33.829353069886992</c:v>
                </c:pt>
                <c:pt idx="9">
                  <c:v>35.370094110319684</c:v>
                </c:pt>
                <c:pt idx="10">
                  <c:v>36.841566456802276</c:v>
                </c:pt>
                <c:pt idx="11">
                  <c:v>38.246884293896393</c:v>
                </c:pt>
                <c:pt idx="12">
                  <c:v>39.589021798536372</c:v>
                </c:pt>
                <c:pt idx="13">
                  <c:v>40.870819434497484</c:v>
                </c:pt>
                <c:pt idx="14">
                  <c:v>42.094989963877204</c:v>
                </c:pt>
                <c:pt idx="15">
                  <c:v>43.264124188312053</c:v>
                </c:pt>
                <c:pt idx="16">
                  <c:v>44.38069643208064</c:v>
                </c:pt>
                <c:pt idx="17">
                  <c:v>45.447069778697077</c:v>
                </c:pt>
                <c:pt idx="18">
                  <c:v>46.465501072077515</c:v>
                </c:pt>
                <c:pt idx="19">
                  <c:v>47.438145692863998</c:v>
                </c:pt>
                <c:pt idx="20">
                  <c:v>48.367062120014161</c:v>
                </c:pt>
                <c:pt idx="21">
                  <c:v>49.254216287310847</c:v>
                </c:pt>
                <c:pt idx="22">
                  <c:v>50.101485744011548</c:v>
                </c:pt>
                <c:pt idx="23">
                  <c:v>50.910663628443224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6D-B44C-B1AF-739B798CAB7A}"/>
            </c:ext>
          </c:extLst>
        </c:ser>
        <c:ser>
          <c:idx val="2"/>
          <c:order val="2"/>
          <c:tx>
            <c:strRef>
              <c:f>'Old and New'!$W$9</c:f>
              <c:strCache>
                <c:ptCount val="1"/>
                <c:pt idx="0">
                  <c:v>Peru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'Old and New'!$T$10:$T$33</c:f>
              <c:numCache>
                <c:formatCode>General</c:formatCode>
                <c:ptCount val="2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</c:numCache>
            </c:numRef>
          </c:xVal>
          <c:yVal>
            <c:numRef>
              <c:f>'Old and New'!$W$10:$W$33</c:f>
              <c:numCache>
                <c:formatCode>General</c:formatCode>
                <c:ptCount val="24"/>
                <c:pt idx="0">
                  <c:v>6.3044595962958683</c:v>
                </c:pt>
                <c:pt idx="1">
                  <c:v>12.12420930477067</c:v>
                </c:pt>
                <c:pt idx="2">
                  <c:v>17.496515392542616</c:v>
                </c:pt>
                <c:pt idx="3">
                  <c:v>22.455778959957343</c:v>
                </c:pt>
                <c:pt idx="4">
                  <c:v>27.033756225077575</c:v>
                </c:pt>
                <c:pt idx="5">
                  <c:v>31.259761871896451</c:v>
                </c:pt>
                <c:pt idx="6">
                  <c:v>35.160856764397181</c:v>
                </c:pt>
                <c:pt idx="7">
                  <c:v>38.762021228470019</c:v>
                </c:pt>
                <c:pt idx="8">
                  <c:v>42.086315011282316</c:v>
                </c:pt>
                <c:pt idx="9">
                  <c:v>45.155024942387833</c:v>
                </c:pt>
                <c:pt idx="10">
                  <c:v>47.987801242110329</c:v>
                </c:pt>
                <c:pt idx="11">
                  <c:v>50.602783350040809</c:v>
                </c:pt>
                <c:pt idx="12">
                  <c:v>53.016716079380025</c:v>
                </c:pt>
                <c:pt idx="13">
                  <c:v>55.245056840910763</c:v>
                </c:pt>
                <c:pt idx="14">
                  <c:v>57.302074623199417</c:v>
                </c:pt>
                <c:pt idx="15">
                  <c:v>59.20094136283808</c:v>
                </c:pt>
                <c:pt idx="16">
                  <c:v>60.953816289808422</c:v>
                </c:pt>
                <c:pt idx="17">
                  <c:v>62.571923788066016</c:v>
                </c:pt>
                <c:pt idx="18">
                  <c:v>64.065625269918385</c:v>
                </c:pt>
                <c:pt idx="19">
                  <c:v>65.444485524438264</c:v>
                </c:pt>
                <c:pt idx="20">
                  <c:v>66.717333964768386</c:v>
                </c:pt>
                <c:pt idx="21">
                  <c:v>67.892321166509859</c:v>
                </c:pt>
                <c:pt idx="22">
                  <c:v>68.976971059232511</c:v>
                </c:pt>
                <c:pt idx="23">
                  <c:v>69.978229105311286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6D-B44C-B1AF-739B798CA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292400"/>
        <c:axId val="1824294096"/>
      </c:scatterChart>
      <c:valAx>
        <c:axId val="182429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94096"/>
        <c:crosses val="autoZero"/>
        <c:crossBetween val="midCat"/>
      </c:valAx>
      <c:valAx>
        <c:axId val="182429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92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20</xdr:row>
      <xdr:rowOff>91293</xdr:rowOff>
    </xdr:from>
    <xdr:to>
      <xdr:col>14</xdr:col>
      <xdr:colOff>161602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243AEC-2213-984E-AED6-64F350EF1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24</xdr:col>
      <xdr:colOff>423334</xdr:colOff>
      <xdr:row>34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8048AC-7466-F440-8A97-CC34129D6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20</xdr:row>
      <xdr:rowOff>91293</xdr:rowOff>
    </xdr:from>
    <xdr:to>
      <xdr:col>14</xdr:col>
      <xdr:colOff>161602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5D78B9-2FDE-6D46-B9F5-839C5E2F7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24</xdr:col>
      <xdr:colOff>423334</xdr:colOff>
      <xdr:row>34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0C1AF-D3B1-1B4A-91B1-16AB4083F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A62D-4F3C-0046-B0B0-C8842ECBE481}">
  <dimension ref="A1:AL39"/>
  <sheetViews>
    <sheetView showGridLines="0" topLeftCell="A15" zoomScale="245" workbookViewId="0">
      <selection activeCell="D5" sqref="D5"/>
    </sheetView>
  </sheetViews>
  <sheetFormatPr baseColWidth="10" defaultColWidth="5.83203125" defaultRowHeight="16" x14ac:dyDescent="0.2"/>
  <cols>
    <col min="2" max="2" width="6" bestFit="1" customWidth="1"/>
    <col min="3" max="3" width="5.5" customWidth="1"/>
    <col min="4" max="4" width="7" customWidth="1"/>
    <col min="5" max="16" width="6" bestFit="1" customWidth="1"/>
    <col min="18" max="18" width="6" bestFit="1" customWidth="1"/>
    <col min="20" max="20" width="6" bestFit="1" customWidth="1"/>
    <col min="21" max="21" width="7.33203125" customWidth="1"/>
    <col min="22" max="23" width="6" bestFit="1" customWidth="1"/>
    <col min="31" max="31" width="8.6640625" bestFit="1" customWidth="1"/>
    <col min="32" max="36" width="6" bestFit="1" customWidth="1"/>
  </cols>
  <sheetData>
    <row r="1" spans="1:38" x14ac:dyDescent="0.2">
      <c r="A1" t="s">
        <v>6</v>
      </c>
    </row>
    <row r="2" spans="1:38" ht="18" x14ac:dyDescent="0.2">
      <c r="B2" s="1"/>
      <c r="C2" s="1"/>
      <c r="D2" s="1"/>
      <c r="E2" s="11" t="s">
        <v>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"/>
      <c r="R2" s="1"/>
      <c r="S2" s="1"/>
      <c r="Z2" s="1"/>
      <c r="AA2" s="1"/>
      <c r="AB2" s="1"/>
      <c r="AC2" s="1"/>
      <c r="AD2" s="1"/>
      <c r="AE2" s="1"/>
    </row>
    <row r="3" spans="1:38" x14ac:dyDescent="0.2">
      <c r="B3" s="1"/>
      <c r="C3" s="1"/>
      <c r="D3" s="1"/>
      <c r="E3" s="9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1"/>
      <c r="AD3" s="1"/>
      <c r="AE3" s="1"/>
    </row>
    <row r="4" spans="1:38" x14ac:dyDescent="0.2">
      <c r="B4" s="14" t="s">
        <v>0</v>
      </c>
      <c r="C4" s="14" t="s">
        <v>4</v>
      </c>
      <c r="D4" s="14" t="s">
        <v>5</v>
      </c>
      <c r="E4" s="1">
        <v>1</v>
      </c>
      <c r="F4" s="1">
        <v>2</v>
      </c>
      <c r="G4" s="1">
        <v>3</v>
      </c>
      <c r="H4" s="1">
        <v>4</v>
      </c>
      <c r="I4" s="1">
        <v>5</v>
      </c>
      <c r="J4" s="1">
        <v>6</v>
      </c>
      <c r="K4" s="1">
        <v>7</v>
      </c>
      <c r="L4" s="1">
        <v>8</v>
      </c>
      <c r="M4" s="1">
        <v>9</v>
      </c>
      <c r="N4" s="1">
        <v>10</v>
      </c>
      <c r="O4" s="1">
        <v>11</v>
      </c>
      <c r="P4" s="1">
        <v>12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>
        <v>6.8560629999999997E-2</v>
      </c>
      <c r="AG4">
        <v>0.26137455999999998</v>
      </c>
      <c r="AH4">
        <v>0.21979217999999998</v>
      </c>
      <c r="AI4">
        <v>0.17059298000000001</v>
      </c>
      <c r="AJ4">
        <v>0.13923588000000001</v>
      </c>
      <c r="AK4">
        <v>0.26858259000000001</v>
      </c>
      <c r="AL4">
        <v>0.32311311000000004</v>
      </c>
    </row>
    <row r="5" spans="1:38" x14ac:dyDescent="0.2">
      <c r="A5" s="12" t="s">
        <v>3</v>
      </c>
      <c r="B5" s="3">
        <v>0</v>
      </c>
      <c r="C5" s="4">
        <v>0.19788005751850185</v>
      </c>
      <c r="D5" s="10">
        <v>1</v>
      </c>
      <c r="E5" s="6">
        <f t="shared" ref="E5:E16" si="0">NORMDIST(E$4+0.5,$D5,$C5,TRUE)</f>
        <v>0.99424437268272436</v>
      </c>
      <c r="F5" s="6">
        <f t="shared" ref="F5:O16" si="1">NORMDIST(F$4+0.5,$D5,$C5,TRUE)-NORMDIST(E$4+0.5,$D5,$C5,TRUE)</f>
        <v>5.7556273172584271E-3</v>
      </c>
      <c r="G5" s="6">
        <f t="shared" si="1"/>
        <v>1.7208456881689926E-14</v>
      </c>
      <c r="H5" s="6">
        <f t="shared" si="1"/>
        <v>0</v>
      </c>
      <c r="I5" s="6">
        <f t="shared" si="1"/>
        <v>0</v>
      </c>
      <c r="J5" s="6">
        <f t="shared" si="1"/>
        <v>0</v>
      </c>
      <c r="K5" s="6">
        <f t="shared" si="1"/>
        <v>0</v>
      </c>
      <c r="L5" s="6">
        <f t="shared" si="1"/>
        <v>0</v>
      </c>
      <c r="M5" s="6">
        <f t="shared" si="1"/>
        <v>0</v>
      </c>
      <c r="N5" s="6">
        <f t="shared" si="1"/>
        <v>0</v>
      </c>
      <c r="O5" s="6">
        <f t="shared" si="1"/>
        <v>0</v>
      </c>
      <c r="P5" s="6">
        <f t="shared" ref="P5:P16" si="2">1-NORMDIST(O$4+0.5,$D5,$C5,TRUE)</f>
        <v>0</v>
      </c>
      <c r="Q5" s="6"/>
      <c r="R5">
        <f>SUM(E5:P5)</f>
        <v>1</v>
      </c>
      <c r="S5" s="6"/>
      <c r="T5" s="4"/>
      <c r="U5" s="4"/>
      <c r="V5" s="4"/>
      <c r="W5" s="4" t="s">
        <v>6</v>
      </c>
      <c r="X5" s="6"/>
      <c r="Y5" s="6"/>
      <c r="Z5" s="6"/>
      <c r="AA5" s="6"/>
      <c r="AB5" s="6"/>
      <c r="AC5" s="1"/>
      <c r="AD5" s="1"/>
      <c r="AE5" s="7">
        <f>SUM(E5:S5)</f>
        <v>2</v>
      </c>
    </row>
    <row r="6" spans="1:38" x14ac:dyDescent="0.2">
      <c r="A6" s="12"/>
      <c r="B6" s="3">
        <v>0.05</v>
      </c>
      <c r="C6" s="4">
        <f>D6*B6</f>
        <v>7.1666666666666656E-2</v>
      </c>
      <c r="D6" s="10">
        <v>1.4333333333333331</v>
      </c>
      <c r="E6" s="6">
        <f t="shared" si="0"/>
        <v>0.82387465602246246</v>
      </c>
      <c r="F6" s="6">
        <f t="shared" si="1"/>
        <v>0.17612534397753754</v>
      </c>
      <c r="G6" s="6">
        <f t="shared" si="1"/>
        <v>0</v>
      </c>
      <c r="H6" s="6">
        <f t="shared" si="1"/>
        <v>0</v>
      </c>
      <c r="I6" s="6">
        <f t="shared" si="1"/>
        <v>0</v>
      </c>
      <c r="J6" s="6">
        <f t="shared" si="1"/>
        <v>0</v>
      </c>
      <c r="K6" s="6">
        <f t="shared" si="1"/>
        <v>0</v>
      </c>
      <c r="L6" s="6">
        <f t="shared" si="1"/>
        <v>0</v>
      </c>
      <c r="M6" s="6">
        <f t="shared" si="1"/>
        <v>0</v>
      </c>
      <c r="N6" s="6">
        <f t="shared" si="1"/>
        <v>0</v>
      </c>
      <c r="O6" s="6">
        <f t="shared" si="1"/>
        <v>0</v>
      </c>
      <c r="P6" s="6">
        <f t="shared" si="2"/>
        <v>0</v>
      </c>
      <c r="Q6" s="6"/>
      <c r="R6">
        <f t="shared" ref="R6:R16" si="3">SUM(E6:P6)</f>
        <v>1</v>
      </c>
      <c r="S6" s="6"/>
      <c r="T6" s="4" t="s">
        <v>7</v>
      </c>
      <c r="U6" s="4">
        <v>72.67</v>
      </c>
      <c r="V6" s="4">
        <v>68.099999999999994</v>
      </c>
      <c r="W6" s="4">
        <v>82</v>
      </c>
      <c r="X6" s="6"/>
      <c r="Y6" s="6"/>
      <c r="Z6" s="6"/>
      <c r="AA6" s="6"/>
      <c r="AB6" s="6"/>
      <c r="AC6" s="8"/>
      <c r="AD6" s="8"/>
      <c r="AE6" s="7">
        <f t="shared" ref="AE6:AE28" si="4">SUM(E6:AB6)</f>
        <v>224.76999999999998</v>
      </c>
    </row>
    <row r="7" spans="1:38" x14ac:dyDescent="0.2">
      <c r="A7" s="12"/>
      <c r="B7" s="3">
        <v>6.5000000000000002E-2</v>
      </c>
      <c r="C7" s="4">
        <f t="shared" ref="C7:C16" si="5">D7*B7</f>
        <v>0.12133333333333329</v>
      </c>
      <c r="D7" s="10">
        <v>1.866666666666666</v>
      </c>
      <c r="E7" s="6">
        <f t="shared" si="0"/>
        <v>1.2556439041920145E-3</v>
      </c>
      <c r="F7" s="6">
        <f t="shared" si="1"/>
        <v>0.99874426652801618</v>
      </c>
      <c r="G7" s="6">
        <f t="shared" si="1"/>
        <v>8.9567791849987088E-8</v>
      </c>
      <c r="H7" s="6">
        <f t="shared" si="1"/>
        <v>0</v>
      </c>
      <c r="I7" s="6">
        <f t="shared" si="1"/>
        <v>0</v>
      </c>
      <c r="J7" s="6">
        <f t="shared" si="1"/>
        <v>0</v>
      </c>
      <c r="K7" s="6">
        <f t="shared" si="1"/>
        <v>0</v>
      </c>
      <c r="L7" s="6">
        <f t="shared" si="1"/>
        <v>0</v>
      </c>
      <c r="M7" s="6">
        <f t="shared" si="1"/>
        <v>0</v>
      </c>
      <c r="N7" s="6">
        <f t="shared" si="1"/>
        <v>0</v>
      </c>
      <c r="O7" s="6">
        <f t="shared" si="1"/>
        <v>0</v>
      </c>
      <c r="P7" s="6">
        <f t="shared" si="2"/>
        <v>0</v>
      </c>
      <c r="Q7" s="6"/>
      <c r="R7">
        <f t="shared" si="3"/>
        <v>1</v>
      </c>
      <c r="S7" s="6"/>
      <c r="T7" s="4" t="s">
        <v>8</v>
      </c>
      <c r="U7" s="4">
        <v>7.3999999999999996E-2</v>
      </c>
      <c r="V7" s="4">
        <v>9.1999999999999998E-2</v>
      </c>
      <c r="W7" s="4">
        <v>0.16</v>
      </c>
      <c r="X7" s="6"/>
      <c r="Y7" s="6"/>
      <c r="Z7" s="6"/>
      <c r="AA7" s="6"/>
      <c r="AB7" s="6"/>
      <c r="AC7" s="8"/>
      <c r="AD7" s="8"/>
      <c r="AE7" s="7">
        <f t="shared" si="4"/>
        <v>2.3260000000000001</v>
      </c>
    </row>
    <row r="8" spans="1:38" x14ac:dyDescent="0.2">
      <c r="A8" s="12"/>
      <c r="B8" s="3">
        <v>0.08</v>
      </c>
      <c r="C8" s="4">
        <f t="shared" si="5"/>
        <v>0.18399999999999991</v>
      </c>
      <c r="D8" s="10">
        <v>2.2999999999999989</v>
      </c>
      <c r="E8" s="6">
        <f t="shared" si="0"/>
        <v>6.8746779429225979E-6</v>
      </c>
      <c r="F8" s="6">
        <f t="shared" si="1"/>
        <v>0.86146511280574833</v>
      </c>
      <c r="G8" s="6">
        <f t="shared" si="1"/>
        <v>0.13852801248156033</v>
      </c>
      <c r="H8" s="6">
        <f t="shared" si="1"/>
        <v>3.4748426358532924E-11</v>
      </c>
      <c r="I8" s="6">
        <f t="shared" si="1"/>
        <v>0</v>
      </c>
      <c r="J8" s="6">
        <f t="shared" si="1"/>
        <v>0</v>
      </c>
      <c r="K8" s="6">
        <f t="shared" si="1"/>
        <v>0</v>
      </c>
      <c r="L8" s="6">
        <f t="shared" si="1"/>
        <v>0</v>
      </c>
      <c r="M8" s="6">
        <f t="shared" si="1"/>
        <v>0</v>
      </c>
      <c r="N8" s="6">
        <f t="shared" si="1"/>
        <v>0</v>
      </c>
      <c r="O8" s="6">
        <f t="shared" si="1"/>
        <v>0</v>
      </c>
      <c r="P8" s="6">
        <f t="shared" si="2"/>
        <v>0</v>
      </c>
      <c r="Q8" s="6"/>
      <c r="R8">
        <f t="shared" si="3"/>
        <v>1</v>
      </c>
      <c r="S8" s="6"/>
      <c r="T8" s="4" t="s">
        <v>9</v>
      </c>
      <c r="U8" s="4">
        <v>-1.972</v>
      </c>
      <c r="V8" s="4">
        <v>-2.964</v>
      </c>
      <c r="W8" s="4">
        <v>0</v>
      </c>
      <c r="X8" s="6"/>
      <c r="Y8" s="6"/>
      <c r="Z8" s="6"/>
      <c r="AA8" s="6"/>
      <c r="AB8" s="6"/>
      <c r="AC8" s="8"/>
      <c r="AD8" s="8"/>
      <c r="AE8" s="7">
        <f t="shared" si="4"/>
        <v>-2.9359999999999999</v>
      </c>
    </row>
    <row r="9" spans="1:38" x14ac:dyDescent="0.2">
      <c r="A9" s="12"/>
      <c r="B9" s="3">
        <v>9.5000000000000001E-2</v>
      </c>
      <c r="C9" s="4">
        <f t="shared" si="5"/>
        <v>0.26243749999999988</v>
      </c>
      <c r="D9" s="10">
        <v>2.7624999999999988</v>
      </c>
      <c r="E9" s="6">
        <f t="shared" si="0"/>
        <v>7.5212897776513031E-7</v>
      </c>
      <c r="F9" s="6">
        <f t="shared" si="1"/>
        <v>0.15859688286663343</v>
      </c>
      <c r="G9" s="6">
        <f t="shared" si="1"/>
        <v>0.83892677428335249</v>
      </c>
      <c r="H9" s="6">
        <f t="shared" si="1"/>
        <v>2.4755907031520641E-3</v>
      </c>
      <c r="I9" s="6">
        <f t="shared" si="1"/>
        <v>1.7884249636779259E-11</v>
      </c>
      <c r="J9" s="6">
        <f t="shared" si="1"/>
        <v>0</v>
      </c>
      <c r="K9" s="6">
        <f t="shared" si="1"/>
        <v>0</v>
      </c>
      <c r="L9" s="6">
        <f t="shared" si="1"/>
        <v>0</v>
      </c>
      <c r="M9" s="6">
        <f t="shared" si="1"/>
        <v>0</v>
      </c>
      <c r="N9" s="6">
        <f t="shared" si="1"/>
        <v>0</v>
      </c>
      <c r="O9" s="6">
        <f t="shared" si="1"/>
        <v>0</v>
      </c>
      <c r="P9" s="6">
        <f t="shared" si="2"/>
        <v>0</v>
      </c>
      <c r="Q9" s="6"/>
      <c r="R9">
        <f t="shared" si="3"/>
        <v>1</v>
      </c>
      <c r="S9" s="6"/>
      <c r="T9" s="4"/>
      <c r="U9" s="4" t="s">
        <v>11</v>
      </c>
      <c r="V9" s="4" t="s">
        <v>10</v>
      </c>
      <c r="W9" s="4" t="s">
        <v>6</v>
      </c>
      <c r="X9" s="6"/>
      <c r="Y9" s="6"/>
      <c r="Z9" s="6"/>
      <c r="AA9" s="6"/>
      <c r="AB9" s="6"/>
      <c r="AC9" s="8"/>
      <c r="AD9" s="8"/>
      <c r="AE9" s="7">
        <f t="shared" si="4"/>
        <v>2</v>
      </c>
    </row>
    <row r="10" spans="1:38" x14ac:dyDescent="0.2">
      <c r="A10" s="12"/>
      <c r="B10" s="3">
        <v>0.11</v>
      </c>
      <c r="C10" s="4">
        <f t="shared" si="5"/>
        <v>0.35474999999999984</v>
      </c>
      <c r="D10" s="10">
        <v>3.2249999999999988</v>
      </c>
      <c r="E10" s="6">
        <f t="shared" si="0"/>
        <v>5.7932973480799243E-7</v>
      </c>
      <c r="F10" s="6">
        <f t="shared" si="1"/>
        <v>2.049137604447538E-2</v>
      </c>
      <c r="G10" s="6">
        <f t="shared" si="1"/>
        <v>0.76039546854929752</v>
      </c>
      <c r="H10" s="6">
        <f t="shared" si="1"/>
        <v>0.21894980638323314</v>
      </c>
      <c r="I10" s="6">
        <f t="shared" si="1"/>
        <v>1.6276962190187039E-4</v>
      </c>
      <c r="J10" s="6">
        <f t="shared" si="1"/>
        <v>7.1357253439430224E-11</v>
      </c>
      <c r="K10" s="6">
        <f t="shared" si="1"/>
        <v>0</v>
      </c>
      <c r="L10" s="6">
        <f t="shared" si="1"/>
        <v>0</v>
      </c>
      <c r="M10" s="6">
        <f t="shared" si="1"/>
        <v>0</v>
      </c>
      <c r="N10" s="6">
        <f t="shared" si="1"/>
        <v>0</v>
      </c>
      <c r="O10" s="6">
        <f t="shared" si="1"/>
        <v>0</v>
      </c>
      <c r="P10" s="6">
        <f t="shared" si="2"/>
        <v>0</v>
      </c>
      <c r="Q10" s="6"/>
      <c r="R10">
        <f t="shared" si="3"/>
        <v>1</v>
      </c>
      <c r="S10" s="6"/>
      <c r="T10" s="13">
        <v>0.5</v>
      </c>
      <c r="U10" s="13">
        <f>Linf*(1-EXP(-K*($T10-Tzero)))</f>
        <v>12.148380722865923</v>
      </c>
      <c r="V10" s="13">
        <f>Linf*(1-EXP(-K*($T10-Tzero)))</f>
        <v>18.584328612541611</v>
      </c>
      <c r="W10" s="13">
        <f>Linf*(1-EXP(-K*($T10-Tzero)))</f>
        <v>6.3044595962958683</v>
      </c>
      <c r="X10" s="6"/>
      <c r="Y10" s="6"/>
      <c r="Z10" s="6"/>
      <c r="AA10" s="6"/>
      <c r="AB10" s="6"/>
      <c r="AC10" s="8"/>
      <c r="AD10" s="8"/>
      <c r="AE10" s="7">
        <f t="shared" si="4"/>
        <v>39.537168931703405</v>
      </c>
    </row>
    <row r="11" spans="1:38" x14ac:dyDescent="0.2">
      <c r="A11" s="12"/>
      <c r="B11" s="3">
        <v>0.125</v>
      </c>
      <c r="C11" s="4">
        <f t="shared" si="5"/>
        <v>0.46093749999999989</v>
      </c>
      <c r="D11" s="10">
        <v>3.6874999999999991</v>
      </c>
      <c r="E11" s="6">
        <f t="shared" si="0"/>
        <v>1.0386105647974695E-6</v>
      </c>
      <c r="F11" s="6">
        <f t="shared" si="1"/>
        <v>4.9925755115201318E-3</v>
      </c>
      <c r="G11" s="6">
        <f t="shared" si="1"/>
        <v>0.33709129900242291</v>
      </c>
      <c r="H11" s="6">
        <f t="shared" si="1"/>
        <v>0.61894053752835199</v>
      </c>
      <c r="I11" s="6">
        <f t="shared" si="1"/>
        <v>3.8932463945739904E-2</v>
      </c>
      <c r="J11" s="6">
        <f t="shared" si="1"/>
        <v>4.2084876652470626E-5</v>
      </c>
      <c r="K11" s="6">
        <f t="shared" si="1"/>
        <v>5.2474768974519748E-10</v>
      </c>
      <c r="L11" s="6">
        <f t="shared" si="1"/>
        <v>0</v>
      </c>
      <c r="M11" s="6">
        <f t="shared" si="1"/>
        <v>0</v>
      </c>
      <c r="N11" s="6">
        <f t="shared" si="1"/>
        <v>0</v>
      </c>
      <c r="O11" s="6">
        <f t="shared" si="1"/>
        <v>0</v>
      </c>
      <c r="P11" s="6">
        <f t="shared" si="2"/>
        <v>0</v>
      </c>
      <c r="Q11" s="6"/>
      <c r="R11">
        <f t="shared" si="3"/>
        <v>0.99999999999999989</v>
      </c>
      <c r="S11" s="6"/>
      <c r="T11" s="13">
        <f>T10+0.5</f>
        <v>1</v>
      </c>
      <c r="U11" s="13">
        <f>Linf*(1-EXP(-K*($T11-Tzero)))</f>
        <v>14.346759829944656</v>
      </c>
      <c r="V11" s="13">
        <f>Linf*(1-EXP(-K*($T11-Tzero)))</f>
        <v>20.810456038931115</v>
      </c>
      <c r="W11" s="13">
        <f>Linf*(1-EXP(-K*($T11-Tzero)))</f>
        <v>12.12420930477067</v>
      </c>
      <c r="X11" s="6"/>
      <c r="Y11" s="6"/>
      <c r="Z11" s="6"/>
      <c r="AA11" s="6"/>
      <c r="AB11" s="6"/>
      <c r="AC11" s="8"/>
      <c r="AD11" s="8"/>
      <c r="AE11" s="7">
        <f t="shared" si="4"/>
        <v>50.28142517364644</v>
      </c>
    </row>
    <row r="12" spans="1:38" x14ac:dyDescent="0.2">
      <c r="A12" s="12"/>
      <c r="B12" s="3">
        <v>0.14000000000000001</v>
      </c>
      <c r="C12" s="4">
        <f t="shared" si="5"/>
        <v>0.58099999999999985</v>
      </c>
      <c r="D12" s="10">
        <v>4.1499999999999986</v>
      </c>
      <c r="E12" s="6">
        <f t="shared" si="0"/>
        <v>2.5442981262142787E-6</v>
      </c>
      <c r="F12" s="6">
        <f t="shared" si="1"/>
        <v>2.2536192640677001E-3</v>
      </c>
      <c r="G12" s="6">
        <f t="shared" si="1"/>
        <v>0.12936494511967425</v>
      </c>
      <c r="H12" s="6">
        <f t="shared" si="1"/>
        <v>0.59492814347544121</v>
      </c>
      <c r="I12" s="6">
        <f t="shared" si="1"/>
        <v>0.26337674107441689</v>
      </c>
      <c r="J12" s="6">
        <f t="shared" si="1"/>
        <v>1.0047817322373476E-2</v>
      </c>
      <c r="K12" s="6">
        <f t="shared" si="1"/>
        <v>2.61853852412397E-5</v>
      </c>
      <c r="L12" s="6">
        <f t="shared" si="1"/>
        <v>4.0606238371765357E-9</v>
      </c>
      <c r="M12" s="6">
        <f t="shared" si="1"/>
        <v>3.5194069880617462E-14</v>
      </c>
      <c r="N12" s="6">
        <f t="shared" si="1"/>
        <v>0</v>
      </c>
      <c r="O12" s="6">
        <f t="shared" si="1"/>
        <v>0</v>
      </c>
      <c r="P12" s="6">
        <f t="shared" si="2"/>
        <v>0</v>
      </c>
      <c r="Q12" s="6"/>
      <c r="R12">
        <f t="shared" si="3"/>
        <v>1</v>
      </c>
      <c r="S12" s="6"/>
      <c r="T12" s="13">
        <f t="shared" ref="T12:T33" si="6">T11+0.5</f>
        <v>1.5</v>
      </c>
      <c r="U12" s="13">
        <f>Linf*(1-EXP(-K*($T12-Tzero)))</f>
        <v>16.465285311886394</v>
      </c>
      <c r="V12" s="13">
        <f>Linf*(1-EXP(-K*($T12-Tzero)))</f>
        <v>22.936501144316711</v>
      </c>
      <c r="W12" s="13">
        <f>Linf*(1-EXP(-K*($T12-Tzero)))</f>
        <v>17.496515392542616</v>
      </c>
      <c r="X12" s="6"/>
      <c r="Y12" s="6"/>
      <c r="Z12" s="6"/>
      <c r="AA12" s="6"/>
      <c r="AB12" s="6"/>
      <c r="AC12" s="8"/>
      <c r="AD12" s="8"/>
      <c r="AE12" s="7">
        <f t="shared" si="4"/>
        <v>60.398301848745717</v>
      </c>
    </row>
    <row r="13" spans="1:38" x14ac:dyDescent="0.2">
      <c r="A13" s="12"/>
      <c r="B13" s="3">
        <v>0.155</v>
      </c>
      <c r="C13" s="4">
        <f t="shared" si="5"/>
        <v>0.71493749999999978</v>
      </c>
      <c r="D13" s="10">
        <v>4.6124999999999989</v>
      </c>
      <c r="E13" s="6">
        <f t="shared" si="0"/>
        <v>6.6982169530642844E-6</v>
      </c>
      <c r="F13" s="6">
        <f t="shared" si="1"/>
        <v>1.5576418225200968E-3</v>
      </c>
      <c r="G13" s="6">
        <f t="shared" si="1"/>
        <v>5.8280185914754104E-2</v>
      </c>
      <c r="H13" s="6">
        <f t="shared" si="1"/>
        <v>0.3776374557443013</v>
      </c>
      <c r="I13" s="6">
        <f t="shared" si="1"/>
        <v>0.4552829628621532</v>
      </c>
      <c r="J13" s="6">
        <f t="shared" si="1"/>
        <v>0.10309086599898176</v>
      </c>
      <c r="K13" s="6">
        <f t="shared" si="1"/>
        <v>4.1173284356031958E-3</v>
      </c>
      <c r="L13" s="6">
        <f t="shared" si="1"/>
        <v>2.6833993854946669E-5</v>
      </c>
      <c r="M13" s="6">
        <f t="shared" si="1"/>
        <v>2.7006814007357605E-8</v>
      </c>
      <c r="N13" s="6">
        <f t="shared" si="1"/>
        <v>4.0641934262453105E-12</v>
      </c>
      <c r="O13" s="6">
        <f t="shared" si="1"/>
        <v>0</v>
      </c>
      <c r="P13" s="6">
        <f t="shared" si="2"/>
        <v>0</v>
      </c>
      <c r="Q13" s="6"/>
      <c r="R13">
        <f t="shared" si="3"/>
        <v>0.99999999999999989</v>
      </c>
      <c r="S13" s="6"/>
      <c r="T13" s="13">
        <f t="shared" si="6"/>
        <v>2</v>
      </c>
      <c r="U13" s="13">
        <f>Linf*(1-EXP(-K*($T13-Tzero)))</f>
        <v>18.506857760962497</v>
      </c>
      <c r="V13" s="13">
        <f>Linf*(1-EXP(-K*($T13-Tzero)))</f>
        <v>24.966963433470138</v>
      </c>
      <c r="W13" s="13">
        <f>Linf*(1-EXP(-K*($T13-Tzero)))</f>
        <v>22.455778959957343</v>
      </c>
      <c r="X13" s="6"/>
      <c r="Y13" s="6"/>
      <c r="Z13" s="6"/>
      <c r="AA13" s="6"/>
      <c r="AB13" s="6"/>
      <c r="AC13" s="8"/>
      <c r="AD13" s="8"/>
      <c r="AE13" s="7">
        <f t="shared" si="4"/>
        <v>69.929600154389973</v>
      </c>
    </row>
    <row r="14" spans="1:38" x14ac:dyDescent="0.2">
      <c r="A14" s="12"/>
      <c r="B14" s="3">
        <v>0.16999999999999998</v>
      </c>
      <c r="C14" s="4">
        <f t="shared" si="5"/>
        <v>0.86274999999999979</v>
      </c>
      <c r="D14" s="10">
        <v>5.0749999999999993</v>
      </c>
      <c r="E14" s="6">
        <f t="shared" si="0"/>
        <v>1.7085365559465677E-5</v>
      </c>
      <c r="F14" s="6">
        <f t="shared" si="1"/>
        <v>1.4024659675483042E-3</v>
      </c>
      <c r="G14" s="6">
        <f t="shared" si="1"/>
        <v>3.253889660702021E-2</v>
      </c>
      <c r="H14" s="6">
        <f t="shared" si="1"/>
        <v>0.21859580477627588</v>
      </c>
      <c r="I14" s="6">
        <f t="shared" si="1"/>
        <v>0.43630195277344985</v>
      </c>
      <c r="J14" s="6">
        <f t="shared" si="1"/>
        <v>0.26184543967421836</v>
      </c>
      <c r="K14" s="6">
        <f t="shared" si="1"/>
        <v>4.6827272577633861E-2</v>
      </c>
      <c r="L14" s="6">
        <f t="shared" si="1"/>
        <v>2.4351253955802177E-3</v>
      </c>
      <c r="M14" s="6">
        <f t="shared" si="1"/>
        <v>3.5811179913025626E-5</v>
      </c>
      <c r="N14" s="6">
        <f t="shared" si="1"/>
        <v>1.4552204341544694E-7</v>
      </c>
      <c r="O14" s="6">
        <f t="shared" si="1"/>
        <v>1.6070966779579976E-10</v>
      </c>
      <c r="P14" s="6">
        <f t="shared" si="2"/>
        <v>4.7739590058881731E-14</v>
      </c>
      <c r="Q14" s="6"/>
      <c r="R14">
        <f t="shared" si="3"/>
        <v>1</v>
      </c>
      <c r="S14" s="6"/>
      <c r="T14" s="13">
        <f t="shared" si="6"/>
        <v>2.5</v>
      </c>
      <c r="U14" s="13">
        <f>Linf*(1-EXP(-K*($T14-Tzero)))</f>
        <v>20.474272408723262</v>
      </c>
      <c r="V14" s="13">
        <f>Linf*(1-EXP(-K*($T14-Tzero)))</f>
        <v>26.906140122257476</v>
      </c>
      <c r="W14" s="13">
        <f>Linf*(1-EXP(-K*($T14-Tzero)))</f>
        <v>27.033756225077575</v>
      </c>
      <c r="X14" s="6"/>
      <c r="Y14" s="6"/>
      <c r="Z14" s="6"/>
      <c r="AA14" s="6"/>
      <c r="AB14" s="6"/>
      <c r="AC14" s="8"/>
      <c r="AD14" s="8"/>
      <c r="AE14" s="7">
        <f t="shared" si="4"/>
        <v>78.914168756058302</v>
      </c>
    </row>
    <row r="15" spans="1:38" x14ac:dyDescent="0.2">
      <c r="A15" s="12"/>
      <c r="B15" s="3">
        <v>0.185</v>
      </c>
      <c r="C15" s="4">
        <f t="shared" si="5"/>
        <v>1.0244374999999999</v>
      </c>
      <c r="D15" s="10">
        <v>5.5374999999999996</v>
      </c>
      <c r="E15" s="6">
        <f t="shared" si="0"/>
        <v>4.0539652221217111E-5</v>
      </c>
      <c r="F15" s="6">
        <f t="shared" si="1"/>
        <v>1.4726694169237056E-3</v>
      </c>
      <c r="G15" s="6">
        <f t="shared" si="1"/>
        <v>2.1843113546588855E-2</v>
      </c>
      <c r="H15" s="6">
        <f t="shared" si="1"/>
        <v>0.13223325676015374</v>
      </c>
      <c r="I15" s="6">
        <f t="shared" si="1"/>
        <v>0.32981021793101284</v>
      </c>
      <c r="J15" s="6">
        <f t="shared" si="1"/>
        <v>0.34087341786140307</v>
      </c>
      <c r="K15" s="6">
        <f t="shared" si="1"/>
        <v>0.14602421124007614</v>
      </c>
      <c r="L15" s="6">
        <f t="shared" si="1"/>
        <v>2.5787553334470692E-2</v>
      </c>
      <c r="M15" s="6">
        <f t="shared" si="1"/>
        <v>1.8601490996168479E-3</v>
      </c>
      <c r="N15" s="6">
        <f t="shared" si="1"/>
        <v>5.4235292925142176E-5</v>
      </c>
      <c r="O15" s="6">
        <f t="shared" si="1"/>
        <v>6.3292692686900409E-7</v>
      </c>
      <c r="P15" s="6">
        <f t="shared" si="2"/>
        <v>2.9376808763359463E-9</v>
      </c>
      <c r="Q15" s="6"/>
      <c r="R15">
        <f t="shared" si="3"/>
        <v>1</v>
      </c>
      <c r="S15" s="6"/>
      <c r="T15" s="13">
        <f t="shared" si="6"/>
        <v>3</v>
      </c>
      <c r="U15" s="13">
        <f>Linf*(1-EXP(-K*($T15-Tzero)))</f>
        <v>22.37022295310647</v>
      </c>
      <c r="V15" s="13">
        <f>Linf*(1-EXP(-K*($T15-Tzero)))</f>
        <v>28.758135232151432</v>
      </c>
      <c r="W15" s="13">
        <f>Linf*(1-EXP(-K*($T15-Tzero)))</f>
        <v>31.259761871896451</v>
      </c>
      <c r="X15" s="6"/>
      <c r="Y15" s="6"/>
      <c r="Z15" s="6"/>
      <c r="AA15" s="6"/>
      <c r="AB15" s="6"/>
      <c r="AC15" s="8"/>
      <c r="AD15" s="8"/>
      <c r="AE15" s="7">
        <f t="shared" si="4"/>
        <v>87.388120057154353</v>
      </c>
    </row>
    <row r="16" spans="1:38" x14ac:dyDescent="0.2">
      <c r="A16" s="12"/>
      <c r="B16" s="3">
        <v>0.2</v>
      </c>
      <c r="C16" s="4">
        <f t="shared" si="5"/>
        <v>1.2</v>
      </c>
      <c r="D16" s="10">
        <v>5.9999999999999991</v>
      </c>
      <c r="E16" s="6">
        <f t="shared" si="0"/>
        <v>8.8417285200804031E-5</v>
      </c>
      <c r="F16" s="6">
        <f t="shared" si="1"/>
        <v>1.680550953910251E-3</v>
      </c>
      <c r="G16" s="6">
        <f t="shared" si="1"/>
        <v>1.6841456950775314E-2</v>
      </c>
      <c r="H16" s="6">
        <f t="shared" si="1"/>
        <v>8.7039348476968995E-2</v>
      </c>
      <c r="I16" s="6">
        <f t="shared" si="1"/>
        <v>0.23281134584383456</v>
      </c>
      <c r="J16" s="6">
        <f t="shared" si="1"/>
        <v>0.32307776097862073</v>
      </c>
      <c r="K16" s="6">
        <f t="shared" si="1"/>
        <v>0.23281134584383423</v>
      </c>
      <c r="L16" s="6">
        <f t="shared" si="1"/>
        <v>8.7039348476968814E-2</v>
      </c>
      <c r="M16" s="6">
        <f t="shared" si="1"/>
        <v>1.6841456950775213E-2</v>
      </c>
      <c r="N16" s="6">
        <f t="shared" si="1"/>
        <v>1.680550953910287E-3</v>
      </c>
      <c r="O16" s="6">
        <f t="shared" si="1"/>
        <v>8.6129176913862793E-5</v>
      </c>
      <c r="P16" s="6">
        <f t="shared" si="2"/>
        <v>2.2881082869519176E-6</v>
      </c>
      <c r="Q16" s="6"/>
      <c r="R16">
        <f t="shared" si="3"/>
        <v>1</v>
      </c>
      <c r="S16" s="6"/>
      <c r="T16" s="13">
        <f t="shared" si="6"/>
        <v>3.5</v>
      </c>
      <c r="U16" s="13">
        <f>Linf*(1-EXP(-K*($T16-Tzero)))</f>
        <v>24.197305246530625</v>
      </c>
      <c r="V16" s="13">
        <f>Linf*(1-EXP(-K*($T16-Tzero)))</f>
        <v>30.52686827587215</v>
      </c>
      <c r="W16" s="13">
        <f>Linf*(1-EXP(-K*($T16-Tzero)))</f>
        <v>35.160856764397181</v>
      </c>
      <c r="X16" s="6"/>
      <c r="Y16" s="6"/>
      <c r="Z16" s="6"/>
      <c r="AA16" s="6"/>
      <c r="AB16" s="6"/>
      <c r="AC16" s="8"/>
      <c r="AD16" s="8"/>
      <c r="AE16" s="7">
        <f t="shared" si="4"/>
        <v>95.38503028679996</v>
      </c>
    </row>
    <row r="17" spans="2:31" x14ac:dyDescent="0.2">
      <c r="B17" s="3"/>
      <c r="C17" s="4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3">
        <f t="shared" si="6"/>
        <v>4</v>
      </c>
      <c r="U17" s="13">
        <f>Linf*(1-EXP(-K*($T17-Tzero)))</f>
        <v>25.95802085002229</v>
      </c>
      <c r="V17" s="13">
        <f>Linf*(1-EXP(-K*($T17-Tzero)))</f>
        <v>32.216082552538751</v>
      </c>
      <c r="W17" s="13">
        <f>Linf*(1-EXP(-K*($T17-Tzero)))</f>
        <v>38.762021228470019</v>
      </c>
      <c r="X17" s="6"/>
      <c r="Y17" s="6"/>
      <c r="Z17" s="6"/>
      <c r="AA17" s="6"/>
      <c r="AB17" s="6"/>
      <c r="AC17" s="8"/>
      <c r="AD17" s="8"/>
      <c r="AE17" s="7">
        <f t="shared" si="4"/>
        <v>100.93612463103106</v>
      </c>
    </row>
    <row r="18" spans="2:31" x14ac:dyDescent="0.2">
      <c r="B18" s="3"/>
      <c r="C18" s="4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3">
        <f t="shared" si="6"/>
        <v>4.5</v>
      </c>
      <c r="U18" s="13">
        <f>Linf*(1-EXP(-K*($T18-Tzero)))</f>
        <v>27.654780458243916</v>
      </c>
      <c r="V18" s="13">
        <f>Linf*(1-EXP(-K*($T18-Tzero)))</f>
        <v>33.829353069886992</v>
      </c>
      <c r="W18" s="13">
        <f>Linf*(1-EXP(-K*($T18-Tzero)))</f>
        <v>42.086315011282316</v>
      </c>
      <c r="X18" s="6"/>
      <c r="Y18" s="6"/>
      <c r="Z18" s="6"/>
      <c r="AA18" s="6"/>
      <c r="AB18" s="6"/>
      <c r="AC18" s="8"/>
      <c r="AD18" s="8"/>
      <c r="AE18" s="7">
        <f t="shared" si="4"/>
        <v>108.07044853941323</v>
      </c>
    </row>
    <row r="19" spans="2:31" x14ac:dyDescent="0.2">
      <c r="B19" s="3"/>
      <c r="C19" s="4"/>
      <c r="D19" s="5"/>
      <c r="E19" s="6">
        <v>1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0</v>
      </c>
      <c r="Q19" s="6"/>
      <c r="R19" s="6"/>
      <c r="S19" s="6"/>
      <c r="T19" s="13">
        <f t="shared" si="6"/>
        <v>5</v>
      </c>
      <c r="U19" s="13">
        <f>Linf*(1-EXP(-K*($T19-Tzero)))</f>
        <v>29.289907200111308</v>
      </c>
      <c r="V19" s="13">
        <f>Linf*(1-EXP(-K*($T19-Tzero)))</f>
        <v>35.370094110319684</v>
      </c>
      <c r="W19" s="13">
        <f>Linf*(1-EXP(-K*($T19-Tzero)))</f>
        <v>45.155024942387833</v>
      </c>
      <c r="X19" s="6"/>
      <c r="Y19" s="6"/>
      <c r="Z19" s="6"/>
      <c r="AA19" s="6"/>
      <c r="AB19" s="6"/>
      <c r="AC19" s="8"/>
      <c r="AD19" s="8"/>
      <c r="AE19" s="7">
        <f t="shared" si="4"/>
        <v>116.81502625281883</v>
      </c>
    </row>
    <row r="20" spans="2:31" x14ac:dyDescent="0.2">
      <c r="B20" s="3"/>
      <c r="C20" s="4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13">
        <f t="shared" si="6"/>
        <v>5.5</v>
      </c>
      <c r="U20" s="13">
        <f>Linf*(1-EXP(-K*($T20-Tzero)))</f>
        <v>30.86563981951997</v>
      </c>
      <c r="V20" s="13">
        <f>Linf*(1-EXP(-K*($T20-Tzero)))</f>
        <v>36.841566456802276</v>
      </c>
      <c r="W20" s="13">
        <f>Linf*(1-EXP(-K*($T20-Tzero)))</f>
        <v>47.987801242110329</v>
      </c>
      <c r="X20" s="6"/>
      <c r="Y20" s="6"/>
      <c r="Z20" s="6"/>
      <c r="AA20" s="6"/>
      <c r="AB20" s="6"/>
      <c r="AC20" s="8"/>
      <c r="AD20" s="8"/>
      <c r="AE20" s="7">
        <f t="shared" si="4"/>
        <v>121.19500751843256</v>
      </c>
    </row>
    <row r="21" spans="2:31" x14ac:dyDescent="0.2">
      <c r="B21" s="3"/>
      <c r="C21" s="4"/>
      <c r="D21" s="5"/>
      <c r="E21" s="6">
        <f t="array" ref="E21:P21">MMULT(E19:P19,E5:P16)</f>
        <v>0.99428491233494554</v>
      </c>
      <c r="F21" s="6">
        <v>7.228296734182133E-3</v>
      </c>
      <c r="G21" s="6">
        <v>2.1843113546606063E-2</v>
      </c>
      <c r="H21" s="6">
        <v>0.13223325676015374</v>
      </c>
      <c r="I21" s="6">
        <v>0.32981021793101284</v>
      </c>
      <c r="J21" s="6">
        <v>0.34087341786140307</v>
      </c>
      <c r="K21" s="6">
        <v>0.14602421124007614</v>
      </c>
      <c r="L21" s="6">
        <v>2.5787553334470692E-2</v>
      </c>
      <c r="M21" s="6">
        <v>1.8601490996168479E-3</v>
      </c>
      <c r="N21" s="6">
        <v>5.4235292925142176E-5</v>
      </c>
      <c r="O21" s="6">
        <v>6.3292692686900409E-7</v>
      </c>
      <c r="P21" s="6">
        <v>2.9376808763359463E-9</v>
      </c>
      <c r="Q21" s="6"/>
      <c r="R21" s="6"/>
      <c r="S21" s="6"/>
      <c r="T21" s="13">
        <f t="shared" si="6"/>
        <v>6</v>
      </c>
      <c r="U21" s="13">
        <f>Linf*(1-EXP(-K*($T21-Tzero)))</f>
        <v>32.384135740535143</v>
      </c>
      <c r="V21" s="13">
        <f>Linf*(1-EXP(-K*($T21-Tzero)))</f>
        <v>38.246884293896393</v>
      </c>
      <c r="W21" s="13">
        <f>Linf*(1-EXP(-K*($T21-Tzero)))</f>
        <v>50.602783350040809</v>
      </c>
      <c r="X21" s="6"/>
      <c r="Y21" s="6"/>
      <c r="Z21" s="6"/>
      <c r="AA21" s="6"/>
      <c r="AB21" s="6"/>
      <c r="AC21" s="8"/>
      <c r="AD21" s="8"/>
      <c r="AE21" s="7">
        <f t="shared" si="4"/>
        <v>129.23380338447237</v>
      </c>
    </row>
    <row r="22" spans="2:31" x14ac:dyDescent="0.2">
      <c r="B22" s="3"/>
      <c r="C22" s="4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3">
        <f t="shared" si="6"/>
        <v>6.5</v>
      </c>
      <c r="U22" s="13">
        <f>Linf*(1-EXP(-K*($T22-Tzero)))</f>
        <v>33.847474021242348</v>
      </c>
      <c r="V22" s="13">
        <f>Linf*(1-EXP(-K*($T22-Tzero)))</f>
        <v>39.589021798536372</v>
      </c>
      <c r="W22" s="13">
        <f>Linf*(1-EXP(-K*($T22-Tzero)))</f>
        <v>53.016716079380025</v>
      </c>
      <c r="X22" s="6"/>
      <c r="Y22" s="6"/>
      <c r="Z22" s="6"/>
      <c r="AA22" s="6"/>
      <c r="AB22" s="6"/>
      <c r="AC22" s="8"/>
      <c r="AD22" s="8"/>
      <c r="AE22" s="7">
        <f t="shared" si="4"/>
        <v>132.95321189915873</v>
      </c>
    </row>
    <row r="23" spans="2:31" x14ac:dyDescent="0.2">
      <c r="B23" s="3"/>
      <c r="C23" s="4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13">
        <f t="shared" si="6"/>
        <v>7</v>
      </c>
      <c r="U23" s="13">
        <f>Linf*(1-EXP(-K*($T23-Tzero)))</f>
        <v>35.2576582003026</v>
      </c>
      <c r="V23" s="13">
        <f>Linf*(1-EXP(-K*($T23-Tzero)))</f>
        <v>40.870819434497484</v>
      </c>
      <c r="W23" s="13">
        <f>Linf*(1-EXP(-K*($T23-Tzero)))</f>
        <v>55.245056840910763</v>
      </c>
      <c r="X23" s="6"/>
      <c r="Y23" s="6"/>
      <c r="Z23" s="6"/>
      <c r="AA23" s="6"/>
      <c r="AB23" s="6"/>
      <c r="AC23" s="8"/>
      <c r="AD23" s="8"/>
      <c r="AE23" s="7">
        <f t="shared" si="4"/>
        <v>138.37353447571084</v>
      </c>
    </row>
    <row r="24" spans="2:31" x14ac:dyDescent="0.2">
      <c r="B24" s="3"/>
      <c r="C24" s="4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13">
        <f t="shared" si="6"/>
        <v>7.5</v>
      </c>
      <c r="U24" s="13">
        <f>Linf*(1-EXP(-K*($T24-Tzero)))</f>
        <v>36.616619040109754</v>
      </c>
      <c r="V24" s="13">
        <f>Linf*(1-EXP(-K*($T24-Tzero)))</f>
        <v>42.094989963877204</v>
      </c>
      <c r="W24" s="13">
        <f>Linf*(1-EXP(-K*($T24-Tzero)))</f>
        <v>57.302074623199417</v>
      </c>
      <c r="X24" s="6"/>
      <c r="Y24" s="6"/>
      <c r="Z24" s="6"/>
      <c r="AA24" s="6"/>
      <c r="AB24" s="6"/>
      <c r="AC24" s="8"/>
      <c r="AD24" s="8"/>
      <c r="AE24" s="7">
        <f t="shared" si="4"/>
        <v>143.51368362718637</v>
      </c>
    </row>
    <row r="25" spans="2:31" x14ac:dyDescent="0.2">
      <c r="B25" s="3"/>
      <c r="C25" s="4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13">
        <f t="shared" si="6"/>
        <v>8</v>
      </c>
      <c r="U25" s="13">
        <f>Linf*(1-EXP(-K*($T25-Tzero)))</f>
        <v>37.926217170305819</v>
      </c>
      <c r="V25" s="13">
        <f>Linf*(1-EXP(-K*($T25-Tzero)))</f>
        <v>43.264124188312053</v>
      </c>
      <c r="W25" s="13">
        <f>Linf*(1-EXP(-K*($T25-Tzero)))</f>
        <v>59.20094136283808</v>
      </c>
      <c r="X25" s="6"/>
      <c r="Y25" s="6"/>
      <c r="Z25" s="6"/>
      <c r="AA25" s="6"/>
      <c r="AB25" s="6"/>
      <c r="AC25" s="8"/>
      <c r="AD25" s="8"/>
      <c r="AE25" s="7">
        <f t="shared" si="4"/>
        <v>148.39128272145595</v>
      </c>
    </row>
    <row r="26" spans="2:31" x14ac:dyDescent="0.2">
      <c r="B26" s="3"/>
      <c r="C26" s="4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13">
        <f t="shared" si="6"/>
        <v>8.5</v>
      </c>
      <c r="U26" s="13">
        <f>Linf*(1-EXP(-K*($T26-Tzero)))</f>
        <v>39.188245635273518</v>
      </c>
      <c r="V26" s="13">
        <f>Linf*(1-EXP(-K*($T26-Tzero)))</f>
        <v>44.38069643208064</v>
      </c>
      <c r="W26" s="13">
        <f>Linf*(1-EXP(-K*($T26-Tzero)))</f>
        <v>60.953816289808422</v>
      </c>
      <c r="X26" s="6"/>
      <c r="Y26" s="6"/>
      <c r="Z26" s="6"/>
      <c r="AA26" s="6"/>
      <c r="AB26" s="6"/>
      <c r="AC26" s="8"/>
      <c r="AD26" s="8"/>
      <c r="AE26" s="7">
        <f t="shared" si="4"/>
        <v>153.02275835716259</v>
      </c>
    </row>
    <row r="27" spans="2:31" x14ac:dyDescent="0.2">
      <c r="B27" s="3"/>
      <c r="C27" s="4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13">
        <f t="shared" si="6"/>
        <v>9</v>
      </c>
      <c r="U27" s="13">
        <f>Linf*(1-EXP(-K*($T27-Tzero)))</f>
        <v>40.404432349094087</v>
      </c>
      <c r="V27" s="13">
        <f>Linf*(1-EXP(-K*($T27-Tzero)))</f>
        <v>45.447069778697077</v>
      </c>
      <c r="W27" s="13">
        <f>Linf*(1-EXP(-K*($T27-Tzero)))</f>
        <v>62.571923788066016</v>
      </c>
      <c r="X27" s="6"/>
      <c r="Y27" s="6"/>
      <c r="Z27" s="6"/>
      <c r="AA27" s="6"/>
      <c r="AB27" s="6"/>
      <c r="AC27" s="8"/>
      <c r="AD27" s="8"/>
      <c r="AE27" s="7">
        <f t="shared" si="4"/>
        <v>157.42342591585719</v>
      </c>
    </row>
    <row r="28" spans="2:31" x14ac:dyDescent="0.2">
      <c r="B28" s="3"/>
      <c r="C28" s="4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13">
        <f t="shared" si="6"/>
        <v>9.5</v>
      </c>
      <c r="U28" s="13">
        <f>Linf*(1-EXP(-K*($T28-Tzero)))</f>
        <v>41.576442461331553</v>
      </c>
      <c r="V28" s="13">
        <f>Linf*(1-EXP(-K*($T28-Tzero)))</f>
        <v>46.465501072077515</v>
      </c>
      <c r="W28" s="13">
        <f>Linf*(1-EXP(-K*($T28-Tzero)))</f>
        <v>64.065625269918385</v>
      </c>
      <c r="X28" s="6"/>
      <c r="Y28" s="6"/>
      <c r="Z28" s="6"/>
      <c r="AA28" s="6"/>
      <c r="AB28" s="6"/>
      <c r="AC28" s="8"/>
      <c r="AD28" s="8"/>
      <c r="AE28" s="7">
        <f t="shared" si="4"/>
        <v>161.60756880332747</v>
      </c>
    </row>
    <row r="29" spans="2:31" x14ac:dyDescent="0.2">
      <c r="B29" s="1"/>
      <c r="C29" s="1"/>
      <c r="D29" s="5"/>
      <c r="E29" s="6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13">
        <f t="shared" si="6"/>
        <v>10</v>
      </c>
      <c r="U29" s="13">
        <f>Linf*(1-EXP(-K*($T29-Tzero)))</f>
        <v>42.705880636882554</v>
      </c>
      <c r="V29" s="13">
        <f>Linf*(1-EXP(-K*($T29-Tzero)))</f>
        <v>47.438145692863998</v>
      </c>
      <c r="W29" s="13">
        <f>Linf*(1-EXP(-K*($T29-Tzero)))</f>
        <v>65.444485524438264</v>
      </c>
      <c r="X29" s="8"/>
      <c r="Y29" s="8"/>
      <c r="Z29" s="6"/>
      <c r="AA29" s="6"/>
      <c r="AB29" s="6"/>
      <c r="AC29" s="1"/>
      <c r="AD29" s="1"/>
      <c r="AE29" s="7"/>
    </row>
    <row r="30" spans="2:31" x14ac:dyDescent="0.2">
      <c r="B30" s="3"/>
      <c r="C30" s="4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13">
        <f t="shared" si="6"/>
        <v>10.5</v>
      </c>
      <c r="U30" s="13">
        <f>Linf*(1-EXP(-K*($T30-Tzero)))</f>
        <v>43.794293253013244</v>
      </c>
      <c r="V30" s="13">
        <f>Linf*(1-EXP(-K*($T30-Tzero)))</f>
        <v>48.367062120014161</v>
      </c>
      <c r="W30" s="13">
        <f>Linf*(1-EXP(-K*($T30-Tzero)))</f>
        <v>66.717333964768386</v>
      </c>
      <c r="X30" s="6"/>
      <c r="Y30" s="6"/>
      <c r="Z30" s="6"/>
      <c r="AA30" s="6"/>
      <c r="AB30" s="6"/>
      <c r="AC30" s="8"/>
      <c r="AD30" s="8"/>
      <c r="AE30" s="7">
        <f t="shared" ref="AE30:AE38" si="7">SUM(E30:AB30)</f>
        <v>169.37868933779578</v>
      </c>
    </row>
    <row r="31" spans="2:31" x14ac:dyDescent="0.2">
      <c r="B31" s="3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13">
        <f t="shared" si="6"/>
        <v>11</v>
      </c>
      <c r="U31" s="13">
        <f>Linf*(1-EXP(-K*($T31-Tzero)))</f>
        <v>44.843170516591215</v>
      </c>
      <c r="V31" s="13">
        <f>Linf*(1-EXP(-K*($T31-Tzero)))</f>
        <v>49.254216287310847</v>
      </c>
      <c r="W31" s="13">
        <f>Linf*(1-EXP(-K*($T31-Tzero)))</f>
        <v>67.892321166509859</v>
      </c>
      <c r="X31" s="6"/>
      <c r="Y31" s="6"/>
      <c r="Z31" s="6"/>
      <c r="AA31" s="6"/>
      <c r="AB31" s="6"/>
      <c r="AC31" s="8"/>
      <c r="AD31" s="8"/>
      <c r="AE31" s="7">
        <f t="shared" si="7"/>
        <v>172.98970797041193</v>
      </c>
    </row>
    <row r="32" spans="2:31" x14ac:dyDescent="0.2">
      <c r="B32" s="3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13">
        <f t="shared" si="6"/>
        <v>11.5</v>
      </c>
      <c r="U32" s="13">
        <f>Linf*(1-EXP(-K*($T32-Tzero)))</f>
        <v>45.853948504411527</v>
      </c>
      <c r="V32" s="13">
        <f>Linf*(1-EXP(-K*($T32-Tzero)))</f>
        <v>50.101485744011548</v>
      </c>
      <c r="W32" s="13">
        <f>Linf*(1-EXP(-K*($T32-Tzero)))</f>
        <v>68.976971059232511</v>
      </c>
      <c r="X32" s="6"/>
      <c r="Y32" s="6"/>
      <c r="Z32" s="6"/>
      <c r="AA32" s="6"/>
      <c r="AB32" s="6"/>
      <c r="AC32" s="8"/>
      <c r="AD32" s="8"/>
      <c r="AE32" s="7">
        <f t="shared" si="7"/>
        <v>176.43240530765559</v>
      </c>
    </row>
    <row r="33" spans="2:31" x14ac:dyDescent="0.2">
      <c r="B33" s="3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13">
        <f t="shared" si="6"/>
        <v>12</v>
      </c>
      <c r="U33" s="13">
        <f>Linf*(1-EXP(-K*($T33-Tzero)))</f>
        <v>46.828011129410093</v>
      </c>
      <c r="V33" s="13">
        <f>Linf*(1-EXP(-K*($T33-Tzero)))</f>
        <v>50.910663628443224</v>
      </c>
      <c r="W33" s="13">
        <f>Linf*(1-EXP(-K*($T33-Tzero)))</f>
        <v>69.978229105311286</v>
      </c>
      <c r="X33" s="6"/>
      <c r="Y33" s="6"/>
      <c r="Z33" s="6"/>
      <c r="AA33" s="6"/>
      <c r="AB33" s="6"/>
      <c r="AC33" s="8"/>
      <c r="AD33" s="8"/>
      <c r="AE33" s="7">
        <f t="shared" si="7"/>
        <v>179.71690386316459</v>
      </c>
    </row>
    <row r="34" spans="2:31" x14ac:dyDescent="0.2">
      <c r="B34" s="3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8"/>
      <c r="AD34" s="8"/>
      <c r="AE34" s="7">
        <f t="shared" si="7"/>
        <v>0</v>
      </c>
    </row>
    <row r="35" spans="2:31" x14ac:dyDescent="0.2">
      <c r="B35" s="3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8"/>
      <c r="AD35" s="8"/>
      <c r="AE35" s="7">
        <f t="shared" si="7"/>
        <v>0</v>
      </c>
    </row>
    <row r="36" spans="2:31" x14ac:dyDescent="0.2">
      <c r="B36" s="3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8"/>
      <c r="AD36" s="8"/>
      <c r="AE36" s="7">
        <f t="shared" si="7"/>
        <v>0</v>
      </c>
    </row>
    <row r="37" spans="2:31" x14ac:dyDescent="0.2">
      <c r="B37" s="3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8"/>
      <c r="AD37" s="8"/>
      <c r="AE37" s="7">
        <f t="shared" si="7"/>
        <v>0</v>
      </c>
    </row>
    <row r="38" spans="2:31" x14ac:dyDescent="0.2">
      <c r="B38" s="3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8"/>
      <c r="AD38" s="8"/>
      <c r="AE38" s="7">
        <f t="shared" si="7"/>
        <v>0</v>
      </c>
    </row>
    <row r="39" spans="2:31" x14ac:dyDescent="0.2">
      <c r="B39" s="1"/>
      <c r="C39" s="1"/>
      <c r="D39" s="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7"/>
      <c r="V39" s="8"/>
      <c r="W39" s="8"/>
      <c r="X39" s="8"/>
      <c r="Y39" s="8"/>
      <c r="Z39" s="6"/>
      <c r="AA39" s="6"/>
      <c r="AB39" s="6"/>
      <c r="AC39" s="1"/>
      <c r="AD39" s="1"/>
      <c r="AE39" s="7"/>
    </row>
  </sheetData>
  <mergeCells count="2">
    <mergeCell ref="E2:P2"/>
    <mergeCell ref="A5:A16"/>
  </mergeCells>
  <conditionalFormatting sqref="W34:AB38 X30:AB33">
    <cfRule type="colorScale" priority="2">
      <colorScale>
        <cfvo type="min"/>
        <cfvo type="max"/>
        <color rgb="FFFCFCFF"/>
        <color rgb="FFF8696B"/>
      </colorScale>
    </cfRule>
  </conditionalFormatting>
  <conditionalFormatting sqref="E5:Q16 S5:S16 X5:AB2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5D4D-8997-EA4A-AE35-541648C4F516}">
  <dimension ref="A2:AL39"/>
  <sheetViews>
    <sheetView showGridLines="0" tabSelected="1" zoomScale="157" workbookViewId="0">
      <selection activeCell="F14" sqref="F14"/>
    </sheetView>
  </sheetViews>
  <sheetFormatPr baseColWidth="10" defaultColWidth="5.83203125" defaultRowHeight="16" x14ac:dyDescent="0.2"/>
  <cols>
    <col min="2" max="2" width="6" bestFit="1" customWidth="1"/>
    <col min="3" max="3" width="5.5" customWidth="1"/>
    <col min="4" max="4" width="7" customWidth="1"/>
    <col min="5" max="16" width="6" bestFit="1" customWidth="1"/>
    <col min="18" max="18" width="6" bestFit="1" customWidth="1"/>
    <col min="20" max="20" width="6" bestFit="1" customWidth="1"/>
    <col min="21" max="21" width="7.33203125" customWidth="1"/>
    <col min="22" max="23" width="6" bestFit="1" customWidth="1"/>
    <col min="31" max="31" width="8.6640625" bestFit="1" customWidth="1"/>
  </cols>
  <sheetData>
    <row r="2" spans="1:38" ht="18" x14ac:dyDescent="0.2">
      <c r="B2" s="1"/>
      <c r="C2" s="1"/>
      <c r="D2" s="1"/>
      <c r="E2" s="11" t="s">
        <v>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"/>
      <c r="R2" s="1"/>
      <c r="S2" s="1"/>
      <c r="Z2" s="1"/>
      <c r="AA2" s="1"/>
      <c r="AB2" s="1"/>
      <c r="AC2" s="1"/>
      <c r="AD2" s="1"/>
      <c r="AE2" s="1"/>
    </row>
    <row r="3" spans="1:38" x14ac:dyDescent="0.2">
      <c r="B3" s="1"/>
      <c r="C3" s="1"/>
      <c r="D3" s="1"/>
      <c r="E3" s="9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1"/>
      <c r="AD3" s="1"/>
      <c r="AE3" s="1"/>
    </row>
    <row r="4" spans="1:38" x14ac:dyDescent="0.2">
      <c r="B4" s="14" t="s">
        <v>0</v>
      </c>
      <c r="C4" s="14" t="s">
        <v>4</v>
      </c>
      <c r="D4" s="14" t="s">
        <v>5</v>
      </c>
      <c r="E4" s="1">
        <v>1</v>
      </c>
      <c r="F4" s="1">
        <v>2</v>
      </c>
      <c r="G4" s="1">
        <v>3</v>
      </c>
      <c r="H4" s="1">
        <v>4</v>
      </c>
      <c r="I4" s="1">
        <v>5</v>
      </c>
      <c r="J4" s="1">
        <v>6</v>
      </c>
      <c r="K4" s="1">
        <v>7</v>
      </c>
      <c r="L4" s="1">
        <v>8</v>
      </c>
      <c r="M4" s="1">
        <v>9</v>
      </c>
      <c r="N4" s="1">
        <v>10</v>
      </c>
      <c r="O4" s="1">
        <v>11</v>
      </c>
      <c r="P4" s="1">
        <v>12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>
        <v>6.8560629999999997E-2</v>
      </c>
      <c r="AG4">
        <v>0.26137455999999998</v>
      </c>
      <c r="AH4">
        <v>0.21979217999999998</v>
      </c>
      <c r="AI4">
        <v>0.17059298000000001</v>
      </c>
      <c r="AJ4">
        <v>0.13923588000000001</v>
      </c>
      <c r="AK4">
        <v>0.26858259000000001</v>
      </c>
      <c r="AL4">
        <v>0.32311311000000004</v>
      </c>
    </row>
    <row r="5" spans="1:38" x14ac:dyDescent="0.2">
      <c r="A5" s="12" t="s">
        <v>3</v>
      </c>
      <c r="B5" s="3">
        <v>0</v>
      </c>
      <c r="C5" s="4">
        <v>0.19788005751850185</v>
      </c>
      <c r="D5" s="10">
        <v>1</v>
      </c>
      <c r="E5" s="6">
        <f t="shared" ref="E5:E16" si="0">NORMDIST(E$4+0.5,$D5,$C5,TRUE)</f>
        <v>0.99424437268272436</v>
      </c>
      <c r="F5" s="6">
        <f t="shared" ref="F5:O5" si="1">NORMDIST(F$4+0.5,$D5,$C5,TRUE)-NORMDIST(E$4+0.5,$D5,$C5,TRUE)</f>
        <v>5.7556273172584271E-3</v>
      </c>
      <c r="G5" s="6">
        <f t="shared" si="1"/>
        <v>1.7208456881689926E-14</v>
      </c>
      <c r="H5" s="6">
        <f t="shared" si="1"/>
        <v>0</v>
      </c>
      <c r="I5" s="6">
        <f t="shared" si="1"/>
        <v>0</v>
      </c>
      <c r="J5" s="6">
        <f t="shared" si="1"/>
        <v>0</v>
      </c>
      <c r="K5" s="6">
        <f t="shared" si="1"/>
        <v>0</v>
      </c>
      <c r="L5" s="6">
        <f t="shared" si="1"/>
        <v>0</v>
      </c>
      <c r="M5" s="6">
        <f t="shared" si="1"/>
        <v>0</v>
      </c>
      <c r="N5" s="6">
        <f t="shared" si="1"/>
        <v>0</v>
      </c>
      <c r="O5" s="6">
        <f t="shared" si="1"/>
        <v>0</v>
      </c>
      <c r="P5" s="6">
        <f t="shared" ref="P5:P16" si="2">1-NORMDIST(O$4+0.5,$D5,$C5,TRUE)</f>
        <v>0</v>
      </c>
      <c r="Q5" s="6"/>
      <c r="R5">
        <f>SUM(E5:P5)</f>
        <v>1</v>
      </c>
      <c r="S5" s="6"/>
      <c r="T5" s="4"/>
      <c r="U5" s="4"/>
      <c r="V5" s="4"/>
      <c r="W5" s="4" t="s">
        <v>6</v>
      </c>
      <c r="X5" s="6"/>
      <c r="Y5" s="6"/>
      <c r="Z5" s="6"/>
      <c r="AA5" s="6"/>
      <c r="AB5" s="6"/>
      <c r="AC5" s="1"/>
      <c r="AD5" s="1"/>
      <c r="AE5" s="7">
        <f>SUM(E5:S5)</f>
        <v>2</v>
      </c>
    </row>
    <row r="6" spans="1:38" x14ac:dyDescent="0.2">
      <c r="A6" s="12"/>
      <c r="B6" s="3">
        <v>0.05</v>
      </c>
      <c r="C6" s="4">
        <f>D6*B6</f>
        <v>8.8636363636363652E-2</v>
      </c>
      <c r="D6" s="10">
        <v>1.7727272727272729</v>
      </c>
      <c r="E6" s="6">
        <f t="shared" si="0"/>
        <v>1.0457463302387501E-3</v>
      </c>
      <c r="F6" s="6">
        <f t="shared" ref="F6:O6" si="3">NORMDIST(F$4+0.5,$D6,$C6,TRUE)-NORMDIST(E$4+0.5,$D6,$C6,TRUE)</f>
        <v>0.99895425366976109</v>
      </c>
      <c r="G6" s="6">
        <f t="shared" si="3"/>
        <v>0</v>
      </c>
      <c r="H6" s="6">
        <f t="shared" si="3"/>
        <v>0</v>
      </c>
      <c r="I6" s="6">
        <f t="shared" si="3"/>
        <v>0</v>
      </c>
      <c r="J6" s="6">
        <f t="shared" si="3"/>
        <v>0</v>
      </c>
      <c r="K6" s="6">
        <f t="shared" si="3"/>
        <v>0</v>
      </c>
      <c r="L6" s="6">
        <f t="shared" si="3"/>
        <v>0</v>
      </c>
      <c r="M6" s="6">
        <f t="shared" si="3"/>
        <v>0</v>
      </c>
      <c r="N6" s="6">
        <f t="shared" si="3"/>
        <v>0</v>
      </c>
      <c r="O6" s="6">
        <f t="shared" si="3"/>
        <v>0</v>
      </c>
      <c r="P6" s="6">
        <f t="shared" si="2"/>
        <v>0</v>
      </c>
      <c r="Q6" s="6"/>
      <c r="R6">
        <f t="shared" ref="R6:R16" si="4">SUM(E6:P6)</f>
        <v>0.99999999999999989</v>
      </c>
      <c r="S6" s="6"/>
      <c r="T6" s="4" t="s">
        <v>7</v>
      </c>
      <c r="U6" s="4">
        <v>72.67</v>
      </c>
      <c r="V6" s="4">
        <v>68.099999999999994</v>
      </c>
      <c r="W6" s="4">
        <v>82</v>
      </c>
      <c r="X6" s="6"/>
      <c r="Y6" s="6"/>
      <c r="Z6" s="6"/>
      <c r="AA6" s="6"/>
      <c r="AB6" s="6"/>
      <c r="AC6" s="8"/>
      <c r="AD6" s="8"/>
      <c r="AE6" s="7">
        <f t="shared" ref="AE6:AE28" si="5">SUM(E6:AB6)</f>
        <v>224.76999999999998</v>
      </c>
    </row>
    <row r="7" spans="1:38" x14ac:dyDescent="0.2">
      <c r="A7" s="12"/>
      <c r="B7" s="3">
        <v>6.5000000000000002E-2</v>
      </c>
      <c r="C7" s="4">
        <f t="shared" ref="C7:C16" si="6">D7*B7</f>
        <v>0.16545454545454549</v>
      </c>
      <c r="D7" s="10">
        <v>2.5454545454545459</v>
      </c>
      <c r="E7" s="6">
        <f t="shared" si="0"/>
        <v>1.3190232407861385E-10</v>
      </c>
      <c r="F7" s="6">
        <f t="shared" ref="F7:O7" si="7">NORMDIST(F$4+0.5,$D7,$C7,TRUE)-NORMDIST(E$4+0.5,$D7,$C7,TRUE)</f>
        <v>0.39176365567598237</v>
      </c>
      <c r="G7" s="6">
        <f t="shared" si="7"/>
        <v>0.60823634021040562</v>
      </c>
      <c r="H7" s="6">
        <f t="shared" si="7"/>
        <v>3.9817096286753895E-9</v>
      </c>
      <c r="I7" s="6">
        <f t="shared" si="7"/>
        <v>0</v>
      </c>
      <c r="J7" s="6">
        <f t="shared" si="7"/>
        <v>0</v>
      </c>
      <c r="K7" s="6">
        <f t="shared" si="7"/>
        <v>0</v>
      </c>
      <c r="L7" s="6">
        <f t="shared" si="7"/>
        <v>0</v>
      </c>
      <c r="M7" s="6">
        <f t="shared" si="7"/>
        <v>0</v>
      </c>
      <c r="N7" s="6">
        <f t="shared" si="7"/>
        <v>0</v>
      </c>
      <c r="O7" s="6">
        <f t="shared" si="7"/>
        <v>0</v>
      </c>
      <c r="P7" s="6">
        <f t="shared" si="2"/>
        <v>0</v>
      </c>
      <c r="Q7" s="6"/>
      <c r="R7">
        <f t="shared" si="4"/>
        <v>1</v>
      </c>
      <c r="S7" s="6"/>
      <c r="T7" s="4" t="s">
        <v>8</v>
      </c>
      <c r="U7" s="4">
        <v>7.3999999999999996E-2</v>
      </c>
      <c r="V7" s="4">
        <v>9.1999999999999998E-2</v>
      </c>
      <c r="W7" s="4">
        <v>0.16</v>
      </c>
      <c r="X7" s="6"/>
      <c r="Y7" s="6"/>
      <c r="Z7" s="6"/>
      <c r="AA7" s="6"/>
      <c r="AB7" s="6"/>
      <c r="AC7" s="8"/>
      <c r="AD7" s="8"/>
      <c r="AE7" s="7">
        <f t="shared" si="5"/>
        <v>2.3260000000000001</v>
      </c>
    </row>
    <row r="8" spans="1:38" x14ac:dyDescent="0.2">
      <c r="A8" s="12"/>
      <c r="B8" s="3">
        <v>0.08</v>
      </c>
      <c r="C8" s="4">
        <f t="shared" si="6"/>
        <v>0.26545454545454555</v>
      </c>
      <c r="D8" s="10">
        <v>3.3181818181818192</v>
      </c>
      <c r="E8" s="6">
        <f t="shared" si="0"/>
        <v>3.7102202943168803E-12</v>
      </c>
      <c r="F8" s="6">
        <f t="shared" ref="F8:O8" si="8">NORMDIST(F$4+0.5,$D8,$C8,TRUE)-NORMDIST(E$4+0.5,$D8,$C8,TRUE)</f>
        <v>1.0274120201160021E-3</v>
      </c>
      <c r="G8" s="6">
        <f t="shared" si="8"/>
        <v>0.7522790164092007</v>
      </c>
      <c r="H8" s="6">
        <f t="shared" si="8"/>
        <v>0.24668931894426993</v>
      </c>
      <c r="I8" s="6">
        <f t="shared" si="8"/>
        <v>4.2526227030936781E-6</v>
      </c>
      <c r="J8" s="6">
        <f t="shared" si="8"/>
        <v>0</v>
      </c>
      <c r="K8" s="6">
        <f t="shared" si="8"/>
        <v>0</v>
      </c>
      <c r="L8" s="6">
        <f t="shared" si="8"/>
        <v>0</v>
      </c>
      <c r="M8" s="6">
        <f t="shared" si="8"/>
        <v>0</v>
      </c>
      <c r="N8" s="6">
        <f t="shared" si="8"/>
        <v>0</v>
      </c>
      <c r="O8" s="6">
        <f t="shared" si="8"/>
        <v>0</v>
      </c>
      <c r="P8" s="6">
        <f t="shared" si="2"/>
        <v>0</v>
      </c>
      <c r="Q8" s="6"/>
      <c r="R8">
        <f t="shared" si="4"/>
        <v>0.99999999999999989</v>
      </c>
      <c r="S8" s="6"/>
      <c r="T8" s="4" t="s">
        <v>9</v>
      </c>
      <c r="U8" s="4">
        <v>-1.972</v>
      </c>
      <c r="V8" s="4">
        <v>-2.964</v>
      </c>
      <c r="W8" s="4">
        <v>0</v>
      </c>
      <c r="X8" s="6"/>
      <c r="Y8" s="6"/>
      <c r="Z8" s="6"/>
      <c r="AA8" s="6"/>
      <c r="AB8" s="6"/>
      <c r="AC8" s="8"/>
      <c r="AD8" s="8"/>
      <c r="AE8" s="7">
        <f t="shared" si="5"/>
        <v>-2.9359999999999999</v>
      </c>
    </row>
    <row r="9" spans="1:38" x14ac:dyDescent="0.2">
      <c r="A9" s="12"/>
      <c r="B9" s="3">
        <v>9.5000000000000001E-2</v>
      </c>
      <c r="C9" s="4">
        <f t="shared" si="6"/>
        <v>0.38863636363636372</v>
      </c>
      <c r="D9" s="10">
        <v>4.0909090909090917</v>
      </c>
      <c r="E9" s="6">
        <f t="shared" si="0"/>
        <v>1.3083924686052984E-11</v>
      </c>
      <c r="F9" s="6">
        <f t="shared" ref="F9:O9" si="9">NORMDIST(F$4+0.5,$D9,$C9,TRUE)-NORMDIST(E$4+0.5,$D9,$C9,TRUE)</f>
        <v>2.1239326617777012E-5</v>
      </c>
      <c r="G9" s="6">
        <f t="shared" si="9"/>
        <v>6.4175478906351169E-2</v>
      </c>
      <c r="H9" s="6">
        <f t="shared" si="9"/>
        <v>0.78954834266200391</v>
      </c>
      <c r="I9" s="6">
        <f t="shared" si="9"/>
        <v>0.14611086649574812</v>
      </c>
      <c r="J9" s="6">
        <f t="shared" si="9"/>
        <v>1.4407231177371305E-4</v>
      </c>
      <c r="K9" s="6">
        <f t="shared" si="9"/>
        <v>2.844213753405711E-10</v>
      </c>
      <c r="L9" s="6">
        <f t="shared" si="9"/>
        <v>0</v>
      </c>
      <c r="M9" s="6">
        <f t="shared" si="9"/>
        <v>0</v>
      </c>
      <c r="N9" s="6">
        <f t="shared" si="9"/>
        <v>0</v>
      </c>
      <c r="O9" s="6">
        <f t="shared" si="9"/>
        <v>0</v>
      </c>
      <c r="P9" s="6">
        <f t="shared" si="2"/>
        <v>0</v>
      </c>
      <c r="Q9" s="6"/>
      <c r="R9">
        <f t="shared" si="4"/>
        <v>1</v>
      </c>
      <c r="S9" s="6"/>
      <c r="T9" s="4"/>
      <c r="U9" s="4" t="s">
        <v>11</v>
      </c>
      <c r="V9" s="4" t="s">
        <v>10</v>
      </c>
      <c r="W9" s="4" t="s">
        <v>6</v>
      </c>
      <c r="X9" s="6"/>
      <c r="Y9" s="6"/>
      <c r="Z9" s="6"/>
      <c r="AA9" s="6"/>
      <c r="AB9" s="6"/>
      <c r="AC9" s="8"/>
      <c r="AD9" s="8"/>
      <c r="AE9" s="7">
        <f t="shared" si="5"/>
        <v>2</v>
      </c>
    </row>
    <row r="10" spans="1:38" x14ac:dyDescent="0.2">
      <c r="A10" s="12"/>
      <c r="B10" s="3">
        <v>0.11</v>
      </c>
      <c r="C10" s="4">
        <f t="shared" si="6"/>
        <v>0.53500000000000014</v>
      </c>
      <c r="D10" s="10">
        <v>4.8636363636363651</v>
      </c>
      <c r="E10" s="6">
        <f t="shared" si="0"/>
        <v>1.6165183805869231E-10</v>
      </c>
      <c r="F10" s="6">
        <f t="shared" ref="F10:O10" si="10">NORMDIST(F$4+0.5,$D10,$C10,TRUE)-NORMDIST(E$4+0.5,$D10,$C10,TRUE)</f>
        <v>4.9804853569174322E-6</v>
      </c>
      <c r="G10" s="6">
        <f t="shared" si="10"/>
        <v>5.3989113942436813E-3</v>
      </c>
      <c r="H10" s="6">
        <f t="shared" si="10"/>
        <v>0.24294518233609305</v>
      </c>
      <c r="I10" s="6">
        <f t="shared" si="10"/>
        <v>0.6345225067049105</v>
      </c>
      <c r="J10" s="6">
        <f t="shared" si="10"/>
        <v>0.11601663732618028</v>
      </c>
      <c r="K10" s="6">
        <f t="shared" si="10"/>
        <v>1.1113657509412844E-3</v>
      </c>
      <c r="L10" s="6">
        <f t="shared" si="10"/>
        <v>4.1583527932154141E-7</v>
      </c>
      <c r="M10" s="6">
        <f t="shared" si="10"/>
        <v>5.3431703506134909E-12</v>
      </c>
      <c r="N10" s="6">
        <f t="shared" si="10"/>
        <v>0</v>
      </c>
      <c r="O10" s="6">
        <f t="shared" si="10"/>
        <v>0</v>
      </c>
      <c r="P10" s="6">
        <f t="shared" si="2"/>
        <v>0</v>
      </c>
      <c r="Q10" s="6"/>
      <c r="R10">
        <f t="shared" si="4"/>
        <v>1</v>
      </c>
      <c r="S10" s="6"/>
      <c r="T10" s="13">
        <v>0.5</v>
      </c>
      <c r="U10" s="13">
        <f>Linf*(1-EXP(-K*($T10-Tzero)))</f>
        <v>12.148380722865923</v>
      </c>
      <c r="V10" s="13">
        <f>Linf*(1-EXP(-K*($T10-Tzero)))</f>
        <v>18.584328612541611</v>
      </c>
      <c r="W10" s="13">
        <f>Linf*(1-EXP(-K*($T10-Tzero)))</f>
        <v>6.3044595962958683</v>
      </c>
      <c r="X10" s="6"/>
      <c r="Y10" s="6"/>
      <c r="Z10" s="6"/>
      <c r="AA10" s="6"/>
      <c r="AB10" s="6"/>
      <c r="AC10" s="8"/>
      <c r="AD10" s="8"/>
      <c r="AE10" s="7">
        <f t="shared" si="5"/>
        <v>39.537168931703405</v>
      </c>
    </row>
    <row r="11" spans="1:38" x14ac:dyDescent="0.2">
      <c r="A11" s="12"/>
      <c r="B11" s="3">
        <v>0.125</v>
      </c>
      <c r="C11" s="4">
        <f t="shared" si="6"/>
        <v>0.70454545454545481</v>
      </c>
      <c r="D11" s="10">
        <v>5.6363636363636385</v>
      </c>
      <c r="E11" s="6">
        <f t="shared" si="0"/>
        <v>2.1662928758398423E-9</v>
      </c>
      <c r="F11" s="6">
        <f t="shared" ref="F11:O11" si="11">NORMDIST(F$4+0.5,$D11,$C11,TRUE)-NORMDIST(E$4+0.5,$D11,$C11,TRUE)</f>
        <v>4.2592187985943567E-6</v>
      </c>
      <c r="G11" s="6">
        <f t="shared" si="11"/>
        <v>1.2093965595690128E-3</v>
      </c>
      <c r="H11" s="6">
        <f t="shared" si="11"/>
        <v>5.2169109189380135E-2</v>
      </c>
      <c r="I11" s="6">
        <f t="shared" si="11"/>
        <v>0.36988199034796038</v>
      </c>
      <c r="J11" s="6">
        <f t="shared" si="11"/>
        <v>0.46659948312391497</v>
      </c>
      <c r="K11" s="6">
        <f t="shared" si="11"/>
        <v>0.10605316005935006</v>
      </c>
      <c r="L11" s="6">
        <f t="shared" si="11"/>
        <v>4.0585332294277299E-3</v>
      </c>
      <c r="M11" s="6">
        <f t="shared" si="11"/>
        <v>2.4045299389596764E-5</v>
      </c>
      <c r="N11" s="6">
        <f t="shared" si="11"/>
        <v>2.0803374911615435E-8</v>
      </c>
      <c r="O11" s="6">
        <f t="shared" si="11"/>
        <v>2.5417445925768334E-12</v>
      </c>
      <c r="P11" s="6">
        <f t="shared" si="2"/>
        <v>0</v>
      </c>
      <c r="Q11" s="6"/>
      <c r="R11">
        <f t="shared" si="4"/>
        <v>1</v>
      </c>
      <c r="S11" s="6"/>
      <c r="T11" s="13">
        <f>T10+0.5</f>
        <v>1</v>
      </c>
      <c r="U11" s="13">
        <f>Linf*(1-EXP(-K*($T11-Tzero)))</f>
        <v>14.346759829944656</v>
      </c>
      <c r="V11" s="13">
        <f>Linf*(1-EXP(-K*($T11-Tzero)))</f>
        <v>20.810456038931115</v>
      </c>
      <c r="W11" s="13">
        <f>Linf*(1-EXP(-K*($T11-Tzero)))</f>
        <v>12.12420930477067</v>
      </c>
      <c r="X11" s="6"/>
      <c r="Y11" s="6"/>
      <c r="Z11" s="6"/>
      <c r="AA11" s="6"/>
      <c r="AB11" s="6"/>
      <c r="AC11" s="8"/>
      <c r="AD11" s="8"/>
      <c r="AE11" s="7">
        <f t="shared" si="5"/>
        <v>50.28142517364644</v>
      </c>
    </row>
    <row r="12" spans="1:38" x14ac:dyDescent="0.2">
      <c r="A12" s="12"/>
      <c r="B12" s="3">
        <v>0.14000000000000001</v>
      </c>
      <c r="C12" s="4">
        <f t="shared" si="6"/>
        <v>0.89727272727272767</v>
      </c>
      <c r="D12" s="10">
        <v>6.4090909090909109</v>
      </c>
      <c r="E12" s="6">
        <f t="shared" si="0"/>
        <v>2.2359434745304824E-8</v>
      </c>
      <c r="F12" s="6">
        <f t="shared" ref="F12:O12" si="12">NORMDIST(F$4+0.5,$D12,$C12,TRUE)-NORMDIST(E$4+0.5,$D12,$C12,TRUE)</f>
        <v>6.5814644021160594E-6</v>
      </c>
      <c r="G12" s="6">
        <f t="shared" si="12"/>
        <v>5.8655832304068528E-4</v>
      </c>
      <c r="H12" s="6">
        <f t="shared" si="12"/>
        <v>1.6089497325524449E-2</v>
      </c>
      <c r="I12" s="6">
        <f t="shared" si="12"/>
        <v>0.13880653145592375</v>
      </c>
      <c r="J12" s="6">
        <f t="shared" si="12"/>
        <v>0.38486144693607433</v>
      </c>
      <c r="K12" s="6">
        <f t="shared" si="12"/>
        <v>0.34761984505390797</v>
      </c>
      <c r="L12" s="6">
        <f t="shared" si="12"/>
        <v>0.10213420348605895</v>
      </c>
      <c r="M12" s="6">
        <f t="shared" si="12"/>
        <v>9.6095537103265682E-3</v>
      </c>
      <c r="N12" s="6">
        <f t="shared" si="12"/>
        <v>2.8319330457393654E-4</v>
      </c>
      <c r="O12" s="6">
        <f t="shared" si="12"/>
        <v>2.5595958456081647E-6</v>
      </c>
      <c r="P12" s="6">
        <f t="shared" si="2"/>
        <v>6.9848868911037698E-9</v>
      </c>
      <c r="Q12" s="6"/>
      <c r="R12">
        <f t="shared" si="4"/>
        <v>1</v>
      </c>
      <c r="S12" s="6"/>
      <c r="T12" s="13">
        <f t="shared" ref="T12:T33" si="13">T11+0.5</f>
        <v>1.5</v>
      </c>
      <c r="U12" s="13">
        <f>Linf*(1-EXP(-K*($T12-Tzero)))</f>
        <v>16.465285311886394</v>
      </c>
      <c r="V12" s="13">
        <f>Linf*(1-EXP(-K*($T12-Tzero)))</f>
        <v>22.936501144316711</v>
      </c>
      <c r="W12" s="13">
        <f>Linf*(1-EXP(-K*($T12-Tzero)))</f>
        <v>17.496515392542616</v>
      </c>
      <c r="X12" s="6"/>
      <c r="Y12" s="6"/>
      <c r="Z12" s="6"/>
      <c r="AA12" s="6"/>
      <c r="AB12" s="6"/>
      <c r="AC12" s="8"/>
      <c r="AD12" s="8"/>
      <c r="AE12" s="7">
        <f t="shared" si="5"/>
        <v>60.398301848745717</v>
      </c>
    </row>
    <row r="13" spans="1:38" x14ac:dyDescent="0.2">
      <c r="A13" s="12"/>
      <c r="B13" s="3">
        <v>0.155</v>
      </c>
      <c r="C13" s="4">
        <f t="shared" si="6"/>
        <v>1.1131818181818185</v>
      </c>
      <c r="D13" s="10">
        <v>7.1818181818181843</v>
      </c>
      <c r="E13" s="6">
        <f t="shared" si="0"/>
        <v>1.6616504354950942E-7</v>
      </c>
      <c r="F13" s="6">
        <f t="shared" ref="F13:O13" si="14">NORMDIST(F$4+0.5,$D13,$C13,TRUE)-NORMDIST(E$4+0.5,$D13,$C13,TRUE)</f>
        <v>1.284194508144946E-5</v>
      </c>
      <c r="G13" s="6">
        <f t="shared" si="14"/>
        <v>4.5770176724436464E-4</v>
      </c>
      <c r="H13" s="6">
        <f t="shared" si="14"/>
        <v>7.5242271335942456E-3</v>
      </c>
      <c r="I13" s="6">
        <f t="shared" si="14"/>
        <v>5.7422127115294389E-2</v>
      </c>
      <c r="J13" s="6">
        <f t="shared" si="14"/>
        <v>0.20468812285704177</v>
      </c>
      <c r="K13" s="6">
        <f t="shared" si="14"/>
        <v>0.34239101259024485</v>
      </c>
      <c r="L13" s="6">
        <f t="shared" si="14"/>
        <v>0.26932830053584045</v>
      </c>
      <c r="M13" s="6">
        <f t="shared" si="14"/>
        <v>9.9526296688266847E-2</v>
      </c>
      <c r="N13" s="6">
        <f t="shared" si="14"/>
        <v>1.7211760632314554E-2</v>
      </c>
      <c r="O13" s="6">
        <f t="shared" si="14"/>
        <v>1.3850281438330114E-3</v>
      </c>
      <c r="P13" s="6">
        <f t="shared" si="2"/>
        <v>5.2414426200519948E-5</v>
      </c>
      <c r="Q13" s="6"/>
      <c r="R13">
        <f t="shared" si="4"/>
        <v>1</v>
      </c>
      <c r="S13" s="6"/>
      <c r="T13" s="13">
        <f t="shared" si="13"/>
        <v>2</v>
      </c>
      <c r="U13" s="13">
        <f>Linf*(1-EXP(-K*($T13-Tzero)))</f>
        <v>18.506857760962497</v>
      </c>
      <c r="V13" s="13">
        <f>Linf*(1-EXP(-K*($T13-Tzero)))</f>
        <v>24.966963433470138</v>
      </c>
      <c r="W13" s="13">
        <f>Linf*(1-EXP(-K*($T13-Tzero)))</f>
        <v>22.455778959957343</v>
      </c>
      <c r="X13" s="6"/>
      <c r="Y13" s="6"/>
      <c r="Z13" s="6"/>
      <c r="AA13" s="6"/>
      <c r="AB13" s="6"/>
      <c r="AC13" s="8"/>
      <c r="AD13" s="8"/>
      <c r="AE13" s="7">
        <f t="shared" si="5"/>
        <v>69.929600154389973</v>
      </c>
    </row>
    <row r="14" spans="1:38" x14ac:dyDescent="0.2">
      <c r="A14" s="12"/>
      <c r="B14" s="3">
        <v>0.16999999999999998</v>
      </c>
      <c r="C14" s="4">
        <f t="shared" si="6"/>
        <v>1.3522727272727277</v>
      </c>
      <c r="D14" s="10">
        <v>7.9545454545454577</v>
      </c>
      <c r="E14" s="6">
        <f t="shared" si="0"/>
        <v>9.0701663579055782E-7</v>
      </c>
      <c r="F14" s="6">
        <f t="shared" ref="F14:O14" si="15">NORMDIST(F$4+0.5,$D14,$C14,TRUE)-NORMDIST(E$4+0.5,$D14,$C14,TRUE)</f>
        <v>2.6555805813763205E-5</v>
      </c>
      <c r="G14" s="6">
        <f t="shared" si="15"/>
        <v>4.661930059335315E-4</v>
      </c>
      <c r="H14" s="6">
        <f t="shared" si="15"/>
        <v>4.8215049606788775E-3</v>
      </c>
      <c r="I14" s="6">
        <f t="shared" si="15"/>
        <v>2.9437109551981776E-2</v>
      </c>
      <c r="J14" s="6">
        <f t="shared" si="15"/>
        <v>0.10629405572521457</v>
      </c>
      <c r="K14" s="6">
        <f t="shared" si="15"/>
        <v>0.22733841297627269</v>
      </c>
      <c r="L14" s="6">
        <f t="shared" si="15"/>
        <v>0.28827405124634065</v>
      </c>
      <c r="M14" s="6">
        <f t="shared" si="15"/>
        <v>0.21679225523757006</v>
      </c>
      <c r="N14" s="6">
        <f t="shared" si="15"/>
        <v>9.6654899060325983E-2</v>
      </c>
      <c r="O14" s="6">
        <f t="shared" si="15"/>
        <v>2.5521343604602897E-2</v>
      </c>
      <c r="P14" s="6">
        <f t="shared" si="2"/>
        <v>4.3727118086294148E-3</v>
      </c>
      <c r="Q14" s="6"/>
      <c r="R14">
        <f t="shared" si="4"/>
        <v>1</v>
      </c>
      <c r="S14" s="6"/>
      <c r="T14" s="13">
        <f t="shared" si="13"/>
        <v>2.5</v>
      </c>
      <c r="U14" s="13">
        <f>Linf*(1-EXP(-K*($T14-Tzero)))</f>
        <v>20.474272408723262</v>
      </c>
      <c r="V14" s="13">
        <f>Linf*(1-EXP(-K*($T14-Tzero)))</f>
        <v>26.906140122257476</v>
      </c>
      <c r="W14" s="13">
        <f>Linf*(1-EXP(-K*($T14-Tzero)))</f>
        <v>27.033756225077575</v>
      </c>
      <c r="X14" s="6"/>
      <c r="Y14" s="6"/>
      <c r="Z14" s="6"/>
      <c r="AA14" s="6"/>
      <c r="AB14" s="6"/>
      <c r="AC14" s="8"/>
      <c r="AD14" s="8"/>
      <c r="AE14" s="7">
        <f t="shared" si="5"/>
        <v>78.914168756058302</v>
      </c>
    </row>
    <row r="15" spans="1:38" x14ac:dyDescent="0.2">
      <c r="A15" s="12"/>
      <c r="B15" s="3">
        <v>0.185</v>
      </c>
      <c r="C15" s="4">
        <f t="shared" si="6"/>
        <v>1.6145454545454552</v>
      </c>
      <c r="D15" s="10">
        <v>8.7272727272727302</v>
      </c>
      <c r="E15" s="6">
        <f t="shared" si="0"/>
        <v>3.7964745426092765E-6</v>
      </c>
      <c r="F15" s="6">
        <f t="shared" ref="F15:O15" si="16">NORMDIST(F$4+0.5,$D15,$C15,TRUE)-NORMDIST(E$4+0.5,$D15,$C15,TRUE)</f>
        <v>5.3601335780474129E-5</v>
      </c>
      <c r="G15" s="6">
        <f t="shared" si="16"/>
        <v>5.4527397952889396E-4</v>
      </c>
      <c r="H15" s="6">
        <f t="shared" si="16"/>
        <v>3.8165170780516634E-3</v>
      </c>
      <c r="I15" s="6">
        <f t="shared" si="16"/>
        <v>1.8391812225987403E-2</v>
      </c>
      <c r="J15" s="6">
        <f t="shared" si="16"/>
        <v>6.1058628086322411E-2</v>
      </c>
      <c r="K15" s="6">
        <f t="shared" si="16"/>
        <v>0.13971727716848148</v>
      </c>
      <c r="L15" s="6">
        <f t="shared" si="16"/>
        <v>0.22044058799155125</v>
      </c>
      <c r="M15" s="6">
        <f t="shared" si="16"/>
        <v>0.23986217854352448</v>
      </c>
      <c r="N15" s="6">
        <f t="shared" si="16"/>
        <v>0.18000218154021641</v>
      </c>
      <c r="O15" s="6">
        <f t="shared" si="16"/>
        <v>9.3149825676926867E-2</v>
      </c>
      <c r="P15" s="6">
        <f t="shared" si="2"/>
        <v>4.295831989908605E-2</v>
      </c>
      <c r="Q15" s="6"/>
      <c r="R15">
        <f t="shared" si="4"/>
        <v>1</v>
      </c>
      <c r="S15" s="6"/>
      <c r="T15" s="13">
        <f t="shared" si="13"/>
        <v>3</v>
      </c>
      <c r="U15" s="13">
        <f>Linf*(1-EXP(-K*($T15-Tzero)))</f>
        <v>22.37022295310647</v>
      </c>
      <c r="V15" s="13">
        <f>Linf*(1-EXP(-K*($T15-Tzero)))</f>
        <v>28.758135232151432</v>
      </c>
      <c r="W15" s="13">
        <f>Linf*(1-EXP(-K*($T15-Tzero)))</f>
        <v>31.259761871896451</v>
      </c>
      <c r="X15" s="6"/>
      <c r="Y15" s="6"/>
      <c r="Z15" s="6"/>
      <c r="AA15" s="6"/>
      <c r="AB15" s="6"/>
      <c r="AC15" s="8"/>
      <c r="AD15" s="8"/>
      <c r="AE15" s="7">
        <f t="shared" si="5"/>
        <v>87.388120057154353</v>
      </c>
    </row>
    <row r="16" spans="1:38" x14ac:dyDescent="0.2">
      <c r="A16" s="12"/>
      <c r="B16" s="3">
        <v>0.2</v>
      </c>
      <c r="C16" s="4">
        <f t="shared" si="6"/>
        <v>1.9000000000000008</v>
      </c>
      <c r="D16" s="10">
        <v>9.5000000000000036</v>
      </c>
      <c r="E16" s="6">
        <f t="shared" si="0"/>
        <v>1.2738822134510085E-5</v>
      </c>
      <c r="F16" s="6">
        <f t="shared" ref="F16:O16" si="17">NORMDIST(F$4+0.5,$D16,$C16,TRUE)-NORMDIST(E$4+0.5,$D16,$C16,TRUE)</f>
        <v>1.0196746533090157E-4</v>
      </c>
      <c r="G16" s="6">
        <f t="shared" si="17"/>
        <v>6.7985835358488585E-4</v>
      </c>
      <c r="H16" s="6">
        <f t="shared" si="17"/>
        <v>3.4548912935508528E-3</v>
      </c>
      <c r="I16" s="6">
        <f t="shared" si="17"/>
        <v>1.3384747678771111E-2</v>
      </c>
      <c r="J16" s="6">
        <f t="shared" si="17"/>
        <v>3.9539861257727918E-2</v>
      </c>
      <c r="K16" s="6">
        <f t="shared" si="17"/>
        <v>8.9080874220842182E-2</v>
      </c>
      <c r="L16" s="6">
        <f t="shared" si="17"/>
        <v>0.15307946803693967</v>
      </c>
      <c r="M16" s="6">
        <f t="shared" si="17"/>
        <v>0.20066559287111724</v>
      </c>
      <c r="N16" s="6">
        <f t="shared" si="17"/>
        <v>0.20066559287111735</v>
      </c>
      <c r="O16" s="6">
        <f t="shared" si="17"/>
        <v>0.15307946803694017</v>
      </c>
      <c r="P16" s="6">
        <f t="shared" si="2"/>
        <v>0.1462549390919432</v>
      </c>
      <c r="Q16" s="6"/>
      <c r="R16">
        <f t="shared" si="4"/>
        <v>1</v>
      </c>
      <c r="S16" s="6"/>
      <c r="T16" s="13">
        <f t="shared" si="13"/>
        <v>3.5</v>
      </c>
      <c r="U16" s="13">
        <f>Linf*(1-EXP(-K*($T16-Tzero)))</f>
        <v>24.197305246530625</v>
      </c>
      <c r="V16" s="13">
        <f>Linf*(1-EXP(-K*($T16-Tzero)))</f>
        <v>30.52686827587215</v>
      </c>
      <c r="W16" s="13">
        <f>Linf*(1-EXP(-K*($T16-Tzero)))</f>
        <v>35.160856764397181</v>
      </c>
      <c r="X16" s="6"/>
      <c r="Y16" s="6"/>
      <c r="Z16" s="6"/>
      <c r="AA16" s="6"/>
      <c r="AB16" s="6"/>
      <c r="AC16" s="8"/>
      <c r="AD16" s="8"/>
      <c r="AE16" s="7">
        <f t="shared" si="5"/>
        <v>95.38503028679996</v>
      </c>
    </row>
    <row r="17" spans="2:31" x14ac:dyDescent="0.2">
      <c r="B17" s="3"/>
      <c r="C17" s="4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3">
        <f t="shared" si="13"/>
        <v>4</v>
      </c>
      <c r="U17" s="13">
        <f>Linf*(1-EXP(-K*($T17-Tzero)))</f>
        <v>25.95802085002229</v>
      </c>
      <c r="V17" s="13">
        <f>Linf*(1-EXP(-K*($T17-Tzero)))</f>
        <v>32.216082552538751</v>
      </c>
      <c r="W17" s="13">
        <f>Linf*(1-EXP(-K*($T17-Tzero)))</f>
        <v>38.762021228470019</v>
      </c>
      <c r="X17" s="6"/>
      <c r="Y17" s="6"/>
      <c r="Z17" s="6"/>
      <c r="AA17" s="6"/>
      <c r="AB17" s="6"/>
      <c r="AC17" s="8"/>
      <c r="AD17" s="8"/>
      <c r="AE17" s="7">
        <f t="shared" si="5"/>
        <v>100.93612463103106</v>
      </c>
    </row>
    <row r="18" spans="2:31" x14ac:dyDescent="0.2">
      <c r="B18" s="3"/>
      <c r="C18" s="4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3">
        <f t="shared" si="13"/>
        <v>4.5</v>
      </c>
      <c r="U18" s="13">
        <f>Linf*(1-EXP(-K*($T18-Tzero)))</f>
        <v>27.654780458243916</v>
      </c>
      <c r="V18" s="13">
        <f>Linf*(1-EXP(-K*($T18-Tzero)))</f>
        <v>33.829353069886992</v>
      </c>
      <c r="W18" s="13">
        <f>Linf*(1-EXP(-K*($T18-Tzero)))</f>
        <v>42.086315011282316</v>
      </c>
      <c r="X18" s="6"/>
      <c r="Y18" s="6"/>
      <c r="Z18" s="6"/>
      <c r="AA18" s="6"/>
      <c r="AB18" s="6"/>
      <c r="AC18" s="8"/>
      <c r="AD18" s="8"/>
      <c r="AE18" s="7">
        <f t="shared" si="5"/>
        <v>108.07044853941323</v>
      </c>
    </row>
    <row r="19" spans="2:31" x14ac:dyDescent="0.2">
      <c r="B19" s="3"/>
      <c r="C19" s="4"/>
      <c r="D19" s="5"/>
      <c r="E19" s="6">
        <v>1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0</v>
      </c>
      <c r="Q19" s="6"/>
      <c r="R19" s="6"/>
      <c r="S19" s="6"/>
      <c r="T19" s="13">
        <f t="shared" si="13"/>
        <v>5</v>
      </c>
      <c r="U19" s="13">
        <f>Linf*(1-EXP(-K*($T19-Tzero)))</f>
        <v>29.289907200111308</v>
      </c>
      <c r="V19" s="13">
        <f>Linf*(1-EXP(-K*($T19-Tzero)))</f>
        <v>35.370094110319684</v>
      </c>
      <c r="W19" s="13">
        <f>Linf*(1-EXP(-K*($T19-Tzero)))</f>
        <v>45.155024942387833</v>
      </c>
      <c r="X19" s="6"/>
      <c r="Y19" s="6"/>
      <c r="Z19" s="6"/>
      <c r="AA19" s="6"/>
      <c r="AB19" s="6"/>
      <c r="AC19" s="8"/>
      <c r="AD19" s="8"/>
      <c r="AE19" s="7">
        <f t="shared" si="5"/>
        <v>116.81502625281883</v>
      </c>
    </row>
    <row r="20" spans="2:31" x14ac:dyDescent="0.2">
      <c r="B20" s="3"/>
      <c r="C20" s="4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13">
        <f t="shared" si="13"/>
        <v>5.5</v>
      </c>
      <c r="U20" s="13">
        <f>Linf*(1-EXP(-K*($T20-Tzero)))</f>
        <v>30.86563981951997</v>
      </c>
      <c r="V20" s="13">
        <f>Linf*(1-EXP(-K*($T20-Tzero)))</f>
        <v>36.841566456802276</v>
      </c>
      <c r="W20" s="13">
        <f>Linf*(1-EXP(-K*($T20-Tzero)))</f>
        <v>47.987801242110329</v>
      </c>
      <c r="X20" s="6"/>
      <c r="Y20" s="6"/>
      <c r="Z20" s="6"/>
      <c r="AA20" s="6"/>
      <c r="AB20" s="6"/>
      <c r="AC20" s="8"/>
      <c r="AD20" s="8"/>
      <c r="AE20" s="7">
        <f t="shared" si="5"/>
        <v>121.19500751843256</v>
      </c>
    </row>
    <row r="21" spans="2:31" x14ac:dyDescent="0.2">
      <c r="B21" s="3"/>
      <c r="C21" s="4"/>
      <c r="D21" s="5"/>
      <c r="E21" s="6">
        <f t="array" ref="E21:P21">MMULT(E19:P19,E5:P16)</f>
        <v>0.99424816915726699</v>
      </c>
      <c r="F21" s="6">
        <v>5.8092286530389012E-3</v>
      </c>
      <c r="G21" s="6">
        <v>5.4527397954610242E-4</v>
      </c>
      <c r="H21" s="6">
        <v>3.8165170780516634E-3</v>
      </c>
      <c r="I21" s="6">
        <v>1.8391812225987403E-2</v>
      </c>
      <c r="J21" s="6">
        <v>6.1058628086322411E-2</v>
      </c>
      <c r="K21" s="6">
        <v>0.13971727716848148</v>
      </c>
      <c r="L21" s="6">
        <v>0.22044058799155125</v>
      </c>
      <c r="M21" s="6">
        <v>0.23986217854352448</v>
      </c>
      <c r="N21" s="6">
        <v>0.18000218154021641</v>
      </c>
      <c r="O21" s="6">
        <v>9.3149825676926867E-2</v>
      </c>
      <c r="P21" s="6">
        <v>4.295831989908605E-2</v>
      </c>
      <c r="Q21" s="6"/>
      <c r="R21" s="6"/>
      <c r="S21" s="6"/>
      <c r="T21" s="13">
        <f t="shared" si="13"/>
        <v>6</v>
      </c>
      <c r="U21" s="13">
        <f>Linf*(1-EXP(-K*($T21-Tzero)))</f>
        <v>32.384135740535143</v>
      </c>
      <c r="V21" s="13">
        <f>Linf*(1-EXP(-K*($T21-Tzero)))</f>
        <v>38.246884293896393</v>
      </c>
      <c r="W21" s="13">
        <f>Linf*(1-EXP(-K*($T21-Tzero)))</f>
        <v>50.602783350040809</v>
      </c>
      <c r="X21" s="6"/>
      <c r="Y21" s="6"/>
      <c r="Z21" s="6"/>
      <c r="AA21" s="6"/>
      <c r="AB21" s="6"/>
      <c r="AC21" s="8"/>
      <c r="AD21" s="8"/>
      <c r="AE21" s="7">
        <f t="shared" si="5"/>
        <v>129.23380338447237</v>
      </c>
    </row>
    <row r="22" spans="2:31" x14ac:dyDescent="0.2">
      <c r="B22" s="3"/>
      <c r="C22" s="4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3">
        <f t="shared" si="13"/>
        <v>6.5</v>
      </c>
      <c r="U22" s="13">
        <f>Linf*(1-EXP(-K*($T22-Tzero)))</f>
        <v>33.847474021242348</v>
      </c>
      <c r="V22" s="13">
        <f>Linf*(1-EXP(-K*($T22-Tzero)))</f>
        <v>39.589021798536372</v>
      </c>
      <c r="W22" s="13">
        <f>Linf*(1-EXP(-K*($T22-Tzero)))</f>
        <v>53.016716079380025</v>
      </c>
      <c r="X22" s="6"/>
      <c r="Y22" s="6"/>
      <c r="Z22" s="6"/>
      <c r="AA22" s="6"/>
      <c r="AB22" s="6"/>
      <c r="AC22" s="8"/>
      <c r="AD22" s="8"/>
      <c r="AE22" s="7">
        <f t="shared" si="5"/>
        <v>132.95321189915873</v>
      </c>
    </row>
    <row r="23" spans="2:31" x14ac:dyDescent="0.2">
      <c r="B23" s="3"/>
      <c r="C23" s="4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13">
        <f t="shared" si="13"/>
        <v>7</v>
      </c>
      <c r="U23" s="13">
        <f>Linf*(1-EXP(-K*($T23-Tzero)))</f>
        <v>35.2576582003026</v>
      </c>
      <c r="V23" s="13">
        <f>Linf*(1-EXP(-K*($T23-Tzero)))</f>
        <v>40.870819434497484</v>
      </c>
      <c r="W23" s="13">
        <f>Linf*(1-EXP(-K*($T23-Tzero)))</f>
        <v>55.245056840910763</v>
      </c>
      <c r="X23" s="6"/>
      <c r="Y23" s="6"/>
      <c r="Z23" s="6"/>
      <c r="AA23" s="6"/>
      <c r="AB23" s="6"/>
      <c r="AC23" s="8"/>
      <c r="AD23" s="8"/>
      <c r="AE23" s="7">
        <f t="shared" si="5"/>
        <v>138.37353447571084</v>
      </c>
    </row>
    <row r="24" spans="2:31" x14ac:dyDescent="0.2">
      <c r="B24" s="3"/>
      <c r="C24" s="4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13">
        <f t="shared" si="13"/>
        <v>7.5</v>
      </c>
      <c r="U24" s="13">
        <f>Linf*(1-EXP(-K*($T24-Tzero)))</f>
        <v>36.616619040109754</v>
      </c>
      <c r="V24" s="13">
        <f>Linf*(1-EXP(-K*($T24-Tzero)))</f>
        <v>42.094989963877204</v>
      </c>
      <c r="W24" s="13">
        <f>Linf*(1-EXP(-K*($T24-Tzero)))</f>
        <v>57.302074623199417</v>
      </c>
      <c r="X24" s="6"/>
      <c r="Y24" s="6"/>
      <c r="Z24" s="6"/>
      <c r="AA24" s="6"/>
      <c r="AB24" s="6"/>
      <c r="AC24" s="8"/>
      <c r="AD24" s="8"/>
      <c r="AE24" s="7">
        <f t="shared" si="5"/>
        <v>143.51368362718637</v>
      </c>
    </row>
    <row r="25" spans="2:31" x14ac:dyDescent="0.2">
      <c r="B25" s="3"/>
      <c r="C25" s="4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13">
        <f t="shared" si="13"/>
        <v>8</v>
      </c>
      <c r="U25" s="13">
        <f>Linf*(1-EXP(-K*($T25-Tzero)))</f>
        <v>37.926217170305819</v>
      </c>
      <c r="V25" s="13">
        <f>Linf*(1-EXP(-K*($T25-Tzero)))</f>
        <v>43.264124188312053</v>
      </c>
      <c r="W25" s="13">
        <f>Linf*(1-EXP(-K*($T25-Tzero)))</f>
        <v>59.20094136283808</v>
      </c>
      <c r="X25" s="6"/>
      <c r="Y25" s="6"/>
      <c r="Z25" s="6"/>
      <c r="AA25" s="6"/>
      <c r="AB25" s="6"/>
      <c r="AC25" s="8"/>
      <c r="AD25" s="8"/>
      <c r="AE25" s="7">
        <f t="shared" si="5"/>
        <v>148.39128272145595</v>
      </c>
    </row>
    <row r="26" spans="2:31" x14ac:dyDescent="0.2">
      <c r="B26" s="3"/>
      <c r="C26" s="4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13">
        <f t="shared" si="13"/>
        <v>8.5</v>
      </c>
      <c r="U26" s="13">
        <f>Linf*(1-EXP(-K*($T26-Tzero)))</f>
        <v>39.188245635273518</v>
      </c>
      <c r="V26" s="13">
        <f>Linf*(1-EXP(-K*($T26-Tzero)))</f>
        <v>44.38069643208064</v>
      </c>
      <c r="W26" s="13">
        <f>Linf*(1-EXP(-K*($T26-Tzero)))</f>
        <v>60.953816289808422</v>
      </c>
      <c r="X26" s="6"/>
      <c r="Y26" s="6"/>
      <c r="Z26" s="6"/>
      <c r="AA26" s="6"/>
      <c r="AB26" s="6"/>
      <c r="AC26" s="8"/>
      <c r="AD26" s="8"/>
      <c r="AE26" s="7">
        <f t="shared" si="5"/>
        <v>153.02275835716259</v>
      </c>
    </row>
    <row r="27" spans="2:31" x14ac:dyDescent="0.2">
      <c r="B27" s="3"/>
      <c r="C27" s="4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13">
        <f t="shared" si="13"/>
        <v>9</v>
      </c>
      <c r="U27" s="13">
        <f>Linf*(1-EXP(-K*($T27-Tzero)))</f>
        <v>40.404432349094087</v>
      </c>
      <c r="V27" s="13">
        <f>Linf*(1-EXP(-K*($T27-Tzero)))</f>
        <v>45.447069778697077</v>
      </c>
      <c r="W27" s="13">
        <f>Linf*(1-EXP(-K*($T27-Tzero)))</f>
        <v>62.571923788066016</v>
      </c>
      <c r="X27" s="6"/>
      <c r="Y27" s="6"/>
      <c r="Z27" s="6"/>
      <c r="AA27" s="6"/>
      <c r="AB27" s="6"/>
      <c r="AC27" s="8"/>
      <c r="AD27" s="8"/>
      <c r="AE27" s="7">
        <f t="shared" si="5"/>
        <v>157.42342591585719</v>
      </c>
    </row>
    <row r="28" spans="2:31" x14ac:dyDescent="0.2">
      <c r="B28" s="3"/>
      <c r="C28" s="4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13">
        <f t="shared" si="13"/>
        <v>9.5</v>
      </c>
      <c r="U28" s="13">
        <f>Linf*(1-EXP(-K*($T28-Tzero)))</f>
        <v>41.576442461331553</v>
      </c>
      <c r="V28" s="13">
        <f>Linf*(1-EXP(-K*($T28-Tzero)))</f>
        <v>46.465501072077515</v>
      </c>
      <c r="W28" s="13">
        <f>Linf*(1-EXP(-K*($T28-Tzero)))</f>
        <v>64.065625269918385</v>
      </c>
      <c r="X28" s="6"/>
      <c r="Y28" s="6"/>
      <c r="Z28" s="6"/>
      <c r="AA28" s="6"/>
      <c r="AB28" s="6"/>
      <c r="AC28" s="8"/>
      <c r="AD28" s="8"/>
      <c r="AE28" s="7">
        <f t="shared" si="5"/>
        <v>161.60756880332747</v>
      </c>
    </row>
    <row r="29" spans="2:31" x14ac:dyDescent="0.2">
      <c r="B29" s="1"/>
      <c r="C29" s="1"/>
      <c r="D29" s="5"/>
      <c r="E29" s="6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13">
        <f t="shared" si="13"/>
        <v>10</v>
      </c>
      <c r="U29" s="13">
        <f>Linf*(1-EXP(-K*($T29-Tzero)))</f>
        <v>42.705880636882554</v>
      </c>
      <c r="V29" s="13">
        <f>Linf*(1-EXP(-K*($T29-Tzero)))</f>
        <v>47.438145692863998</v>
      </c>
      <c r="W29" s="13">
        <f>Linf*(1-EXP(-K*($T29-Tzero)))</f>
        <v>65.444485524438264</v>
      </c>
      <c r="X29" s="8"/>
      <c r="Y29" s="8"/>
      <c r="Z29" s="6"/>
      <c r="AA29" s="6"/>
      <c r="AB29" s="6"/>
      <c r="AC29" s="1"/>
      <c r="AD29" s="1"/>
      <c r="AE29" s="7"/>
    </row>
    <row r="30" spans="2:31" x14ac:dyDescent="0.2">
      <c r="B30" s="3"/>
      <c r="C30" s="4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13">
        <f t="shared" si="13"/>
        <v>10.5</v>
      </c>
      <c r="U30" s="13">
        <f>Linf*(1-EXP(-K*($T30-Tzero)))</f>
        <v>43.794293253013244</v>
      </c>
      <c r="V30" s="13">
        <f>Linf*(1-EXP(-K*($T30-Tzero)))</f>
        <v>48.367062120014161</v>
      </c>
      <c r="W30" s="13">
        <f>Linf*(1-EXP(-K*($T30-Tzero)))</f>
        <v>66.717333964768386</v>
      </c>
      <c r="X30" s="6"/>
      <c r="Y30" s="6"/>
      <c r="Z30" s="6"/>
      <c r="AA30" s="6"/>
      <c r="AB30" s="6"/>
      <c r="AC30" s="8"/>
      <c r="AD30" s="8"/>
      <c r="AE30" s="7">
        <f t="shared" ref="AE30:AE38" si="18">SUM(E30:AB30)</f>
        <v>169.37868933779578</v>
      </c>
    </row>
    <row r="31" spans="2:31" x14ac:dyDescent="0.2">
      <c r="B31" s="3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13">
        <f t="shared" si="13"/>
        <v>11</v>
      </c>
      <c r="U31" s="13">
        <f>Linf*(1-EXP(-K*($T31-Tzero)))</f>
        <v>44.843170516591215</v>
      </c>
      <c r="V31" s="13">
        <f>Linf*(1-EXP(-K*($T31-Tzero)))</f>
        <v>49.254216287310847</v>
      </c>
      <c r="W31" s="13">
        <f>Linf*(1-EXP(-K*($T31-Tzero)))</f>
        <v>67.892321166509859</v>
      </c>
      <c r="X31" s="6"/>
      <c r="Y31" s="6"/>
      <c r="Z31" s="6"/>
      <c r="AA31" s="6"/>
      <c r="AB31" s="6"/>
      <c r="AC31" s="8"/>
      <c r="AD31" s="8"/>
      <c r="AE31" s="7">
        <f t="shared" si="18"/>
        <v>172.98970797041193</v>
      </c>
    </row>
    <row r="32" spans="2:31" x14ac:dyDescent="0.2">
      <c r="B32" s="3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13">
        <f t="shared" si="13"/>
        <v>11.5</v>
      </c>
      <c r="U32" s="13">
        <f>Linf*(1-EXP(-K*($T32-Tzero)))</f>
        <v>45.853948504411527</v>
      </c>
      <c r="V32" s="13">
        <f>Linf*(1-EXP(-K*($T32-Tzero)))</f>
        <v>50.101485744011548</v>
      </c>
      <c r="W32" s="13">
        <f>Linf*(1-EXP(-K*($T32-Tzero)))</f>
        <v>68.976971059232511</v>
      </c>
      <c r="X32" s="6"/>
      <c r="Y32" s="6"/>
      <c r="Z32" s="6"/>
      <c r="AA32" s="6"/>
      <c r="AB32" s="6"/>
      <c r="AC32" s="8"/>
      <c r="AD32" s="8"/>
      <c r="AE32" s="7">
        <f t="shared" si="18"/>
        <v>176.43240530765559</v>
      </c>
    </row>
    <row r="33" spans="2:31" x14ac:dyDescent="0.2">
      <c r="B33" s="3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13">
        <f t="shared" si="13"/>
        <v>12</v>
      </c>
      <c r="U33" s="13">
        <f>Linf*(1-EXP(-K*($T33-Tzero)))</f>
        <v>46.828011129410093</v>
      </c>
      <c r="V33" s="13">
        <f>Linf*(1-EXP(-K*($T33-Tzero)))</f>
        <v>50.910663628443224</v>
      </c>
      <c r="W33" s="13">
        <f>Linf*(1-EXP(-K*($T33-Tzero)))</f>
        <v>69.978229105311286</v>
      </c>
      <c r="X33" s="6"/>
      <c r="Y33" s="6"/>
      <c r="Z33" s="6"/>
      <c r="AA33" s="6"/>
      <c r="AB33" s="6"/>
      <c r="AC33" s="8"/>
      <c r="AD33" s="8"/>
      <c r="AE33" s="7">
        <f t="shared" si="18"/>
        <v>179.71690386316459</v>
      </c>
    </row>
    <row r="34" spans="2:31" x14ac:dyDescent="0.2">
      <c r="B34" s="3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8"/>
      <c r="AD34" s="8"/>
      <c r="AE34" s="7">
        <f t="shared" si="18"/>
        <v>0</v>
      </c>
    </row>
    <row r="35" spans="2:31" x14ac:dyDescent="0.2">
      <c r="B35" s="3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8"/>
      <c r="AD35" s="8"/>
      <c r="AE35" s="7">
        <f t="shared" si="18"/>
        <v>0</v>
      </c>
    </row>
    <row r="36" spans="2:31" x14ac:dyDescent="0.2">
      <c r="B36" s="3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8"/>
      <c r="AD36" s="8"/>
      <c r="AE36" s="7">
        <f t="shared" si="18"/>
        <v>0</v>
      </c>
    </row>
    <row r="37" spans="2:31" x14ac:dyDescent="0.2">
      <c r="B37" s="3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8"/>
      <c r="AD37" s="8"/>
      <c r="AE37" s="7">
        <f t="shared" si="18"/>
        <v>0</v>
      </c>
    </row>
    <row r="38" spans="2:31" x14ac:dyDescent="0.2">
      <c r="B38" s="3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8"/>
      <c r="AD38" s="8"/>
      <c r="AE38" s="7">
        <f t="shared" si="18"/>
        <v>0</v>
      </c>
    </row>
    <row r="39" spans="2:31" x14ac:dyDescent="0.2">
      <c r="B39" s="1"/>
      <c r="C39" s="1"/>
      <c r="D39" s="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7"/>
      <c r="V39" s="8"/>
      <c r="W39" s="8"/>
      <c r="X39" s="8"/>
      <c r="Y39" s="8"/>
      <c r="Z39" s="6"/>
      <c r="AA39" s="6"/>
      <c r="AB39" s="6"/>
      <c r="AC39" s="1"/>
      <c r="AD39" s="1"/>
      <c r="AE39" s="7"/>
    </row>
  </sheetData>
  <mergeCells count="2">
    <mergeCell ref="E2:P2"/>
    <mergeCell ref="A5:A16"/>
  </mergeCells>
  <conditionalFormatting sqref="W34:AB38 X30:AB33">
    <cfRule type="colorScale" priority="3">
      <colorScale>
        <cfvo type="min"/>
        <cfvo type="max"/>
        <color rgb="FFFCFCFF"/>
        <color rgb="FFF8696B"/>
      </colorScale>
    </cfRule>
  </conditionalFormatting>
  <conditionalFormatting sqref="E5:Q16 S5:S16 X5:AB28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Old and Peru maybe</vt:lpstr>
      <vt:lpstr>Old and New</vt:lpstr>
      <vt:lpstr>'Old and Peru maybe'!K</vt:lpstr>
      <vt:lpstr>K</vt:lpstr>
      <vt:lpstr>'Old and Peru maybe'!Linf</vt:lpstr>
      <vt:lpstr>Linf</vt:lpstr>
      <vt:lpstr>'Old and Peru maybe'!Tzero</vt:lpstr>
      <vt:lpstr>Tzero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Ianelli</dc:creator>
  <cp:lastModifiedBy>Jim Ianelli</cp:lastModifiedBy>
  <dcterms:created xsi:type="dcterms:W3CDTF">2018-05-29T10:45:27Z</dcterms:created>
  <dcterms:modified xsi:type="dcterms:W3CDTF">2018-05-29T17:26:58Z</dcterms:modified>
</cp:coreProperties>
</file>